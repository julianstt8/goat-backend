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647dadde3b0ef5c/Desktop/"/>
    </mc:Choice>
  </mc:AlternateContent>
  <xr:revisionPtr revIDLastSave="690" documentId="13_ncr:1_{08A96EF1-F7C1-4ED4-A672-48F160A091E1}" xr6:coauthVersionLast="47" xr6:coauthVersionMax="47" xr10:uidLastSave="{0C95839D-97F3-486F-8A4D-BEBB6064717F}"/>
  <bookViews>
    <workbookView xWindow="-28920" yWindow="-120" windowWidth="29040" windowHeight="15720" tabRatio="670" activeTab="4" xr2:uid="{AB44146B-B3F4-4348-AC79-E1302E679D9D}"/>
  </bookViews>
  <sheets>
    <sheet name="CALCULOS" sheetId="1" r:id="rId1"/>
    <sheet name="STOCK" sheetId="26" r:id="rId2"/>
    <sheet name="DEUDORES" sheetId="23" r:id="rId3"/>
    <sheet name="VENTAS" sheetId="30" r:id="rId4"/>
    <sheet name="GASTOS" sheetId="28" r:id="rId5"/>
  </sheets>
  <definedNames>
    <definedName name="_xlnm._FilterDatabase" localSheetId="0" hidden="1">CALCULOS!$A$13:$L$20</definedName>
    <definedName name="_xlnm._FilterDatabase" localSheetId="2" hidden="1">DEUDORES!$A$1:$Q$15</definedName>
    <definedName name="_xlnm._FilterDatabase" localSheetId="1" hidden="1">STOCK!$K$4:$K$46</definedName>
    <definedName name="_xlnm._FilterDatabase" localSheetId="3" hidden="1">VENTAS!$A$1:$Q$133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  <c r="J11" i="30"/>
  <c r="O2" i="30"/>
  <c r="L2" i="30"/>
  <c r="K2" i="30"/>
  <c r="I11" i="30"/>
  <c r="G19" i="26"/>
  <c r="F19" i="26"/>
  <c r="O3" i="30"/>
  <c r="L3" i="30"/>
  <c r="K3" i="30"/>
  <c r="D13" i="1"/>
  <c r="G13" i="1"/>
  <c r="H13" i="1"/>
  <c r="J13" i="1"/>
  <c r="I13" i="1"/>
  <c r="O5" i="30"/>
  <c r="K4" i="30"/>
  <c r="L4" i="30"/>
  <c r="O4" i="30"/>
  <c r="L5" i="30"/>
  <c r="K5" i="30"/>
  <c r="O6" i="30"/>
  <c r="L6" i="30"/>
  <c r="K6" i="30"/>
  <c r="O7" i="30"/>
  <c r="L7" i="30"/>
  <c r="K7" i="30"/>
  <c r="K12" i="30"/>
  <c r="F18" i="26"/>
  <c r="G18" i="26"/>
  <c r="F16" i="26"/>
  <c r="G16" i="26"/>
  <c r="O8" i="30"/>
  <c r="L8" i="30"/>
  <c r="K8" i="30"/>
  <c r="O9" i="30"/>
  <c r="L9" i="30"/>
  <c r="K9" i="30"/>
  <c r="K10" i="30"/>
  <c r="L10" i="30"/>
  <c r="O10" i="30"/>
  <c r="F17" i="26"/>
  <c r="G17" i="26"/>
  <c r="O11" i="30"/>
  <c r="L11" i="30"/>
  <c r="I24" i="30"/>
  <c r="K24" i="30"/>
  <c r="O13" i="30"/>
  <c r="L13" i="30"/>
  <c r="K13" i="30"/>
  <c r="A21" i="28"/>
  <c r="O12" i="30"/>
  <c r="L12" i="30"/>
  <c r="D5" i="26"/>
  <c r="F5" i="26"/>
  <c r="G5" i="26"/>
  <c r="O14" i="30"/>
  <c r="K14" i="30"/>
  <c r="L35" i="30"/>
  <c r="H16" i="30"/>
  <c r="L16" i="30"/>
  <c r="H17" i="30"/>
  <c r="K17" i="30"/>
  <c r="H18" i="30"/>
  <c r="K18" i="30"/>
  <c r="H15" i="30"/>
  <c r="K15" i="30"/>
  <c r="O15" i="30"/>
  <c r="O16" i="30"/>
  <c r="O17" i="30"/>
  <c r="O18" i="30"/>
  <c r="O19" i="30"/>
  <c r="L19" i="30"/>
  <c r="K19" i="30"/>
  <c r="O20" i="30"/>
  <c r="L20" i="30"/>
  <c r="K20" i="30"/>
  <c r="O21" i="30"/>
  <c r="L21" i="30"/>
  <c r="K21" i="30"/>
  <c r="L14" i="30"/>
  <c r="F13" i="1"/>
  <c r="O22" i="30"/>
  <c r="L22" i="30"/>
  <c r="K22" i="30"/>
  <c r="O23" i="30"/>
  <c r="L23" i="30"/>
  <c r="K23" i="30"/>
  <c r="O24" i="30"/>
  <c r="L24" i="30"/>
  <c r="O25" i="30"/>
  <c r="L25" i="30"/>
  <c r="K25" i="30"/>
  <c r="J13" i="26"/>
  <c r="D13" i="26"/>
  <c r="D14" i="26"/>
  <c r="F14" i="26"/>
  <c r="G14" i="26"/>
  <c r="O26" i="30"/>
  <c r="L26" i="30"/>
  <c r="K26" i="30"/>
  <c r="O27" i="30"/>
  <c r="L27" i="30"/>
  <c r="K27" i="30"/>
  <c r="O28" i="30"/>
  <c r="L28" i="30"/>
  <c r="K28" i="30"/>
  <c r="O33" i="30"/>
  <c r="L33" i="30"/>
  <c r="K33" i="30"/>
  <c r="O29" i="30"/>
  <c r="L29" i="30"/>
  <c r="K29" i="30"/>
  <c r="O31" i="30"/>
  <c r="L31" i="30"/>
  <c r="O32" i="30"/>
  <c r="K32" i="30"/>
  <c r="O35" i="30"/>
  <c r="K35" i="30"/>
  <c r="O36" i="30"/>
  <c r="L36" i="30"/>
  <c r="K36" i="30"/>
  <c r="O34" i="30"/>
  <c r="L34" i="30"/>
  <c r="K34" i="30"/>
  <c r="K37" i="30"/>
  <c r="L37" i="30"/>
  <c r="O37" i="30"/>
  <c r="O30" i="30"/>
  <c r="L30" i="30"/>
  <c r="K30" i="30"/>
  <c r="H119" i="30"/>
  <c r="L119" i="30"/>
  <c r="F119" i="30"/>
  <c r="G119" i="30"/>
  <c r="H118" i="30"/>
  <c r="G118" i="30"/>
  <c r="K118" i="30"/>
  <c r="F118" i="30"/>
  <c r="L118" i="30"/>
  <c r="O117" i="30"/>
  <c r="L117" i="30"/>
  <c r="K117" i="30"/>
  <c r="O116" i="30"/>
  <c r="L116" i="30"/>
  <c r="K116" i="30"/>
  <c r="O115" i="30"/>
  <c r="L115" i="30"/>
  <c r="J115" i="30"/>
  <c r="K115" i="30"/>
  <c r="O120" i="30"/>
  <c r="L120" i="30"/>
  <c r="K120" i="30"/>
  <c r="O121" i="30"/>
  <c r="L121" i="30"/>
  <c r="K121" i="30"/>
  <c r="O125" i="30"/>
  <c r="L125" i="30"/>
  <c r="K125" i="30"/>
  <c r="O127" i="30"/>
  <c r="L127" i="30"/>
  <c r="K127" i="30"/>
  <c r="H124" i="30"/>
  <c r="K124" i="30"/>
  <c r="G124" i="30"/>
  <c r="O124" i="30"/>
  <c r="F124" i="30"/>
  <c r="H123" i="30"/>
  <c r="G123" i="30"/>
  <c r="F123" i="30"/>
  <c r="O122" i="30"/>
  <c r="K122" i="30"/>
  <c r="O126" i="30"/>
  <c r="L126" i="30"/>
  <c r="K126" i="30"/>
  <c r="O128" i="30"/>
  <c r="L128" i="30"/>
  <c r="K128" i="30"/>
  <c r="K130" i="30"/>
  <c r="F130" i="30"/>
  <c r="L130" i="30"/>
  <c r="K129" i="30"/>
  <c r="F129" i="30"/>
  <c r="O129" i="30"/>
  <c r="O132" i="30"/>
  <c r="L132" i="30"/>
  <c r="K132" i="30"/>
  <c r="O131" i="30"/>
  <c r="L131" i="30"/>
  <c r="K131" i="30"/>
  <c r="O133" i="30"/>
  <c r="L133" i="30"/>
  <c r="K133" i="30"/>
  <c r="O106" i="30"/>
  <c r="L106" i="30"/>
  <c r="K106" i="30"/>
  <c r="O107" i="30"/>
  <c r="L107" i="30"/>
  <c r="K107" i="30"/>
  <c r="O108" i="30"/>
  <c r="L108" i="30"/>
  <c r="K108" i="30"/>
  <c r="O109" i="30"/>
  <c r="L109" i="30"/>
  <c r="K109" i="30"/>
  <c r="O110" i="30"/>
  <c r="L110" i="30"/>
  <c r="K110" i="30"/>
  <c r="O112" i="30"/>
  <c r="L112" i="30"/>
  <c r="K112" i="30"/>
  <c r="O111" i="30"/>
  <c r="L111" i="30"/>
  <c r="K111" i="30"/>
  <c r="O113" i="30"/>
  <c r="L113" i="30"/>
  <c r="K113" i="30"/>
  <c r="O114" i="30"/>
  <c r="L114" i="30"/>
  <c r="K114" i="30"/>
  <c r="O102" i="30"/>
  <c r="L102" i="30"/>
  <c r="K102" i="30"/>
  <c r="O103" i="30"/>
  <c r="L103" i="30"/>
  <c r="K103" i="30"/>
  <c r="O105" i="30"/>
  <c r="L105" i="30"/>
  <c r="K105" i="30"/>
  <c r="O104" i="30"/>
  <c r="L104" i="30"/>
  <c r="K104" i="30"/>
  <c r="O94" i="30"/>
  <c r="L94" i="30"/>
  <c r="K94" i="30"/>
  <c r="O95" i="30"/>
  <c r="L95" i="30"/>
  <c r="K95" i="30"/>
  <c r="H92" i="30"/>
  <c r="K92" i="30"/>
  <c r="F92" i="30"/>
  <c r="L92" i="30"/>
  <c r="H91" i="30"/>
  <c r="K91" i="30"/>
  <c r="F91" i="30"/>
  <c r="L91" i="30"/>
  <c r="O97" i="30"/>
  <c r="L97" i="30"/>
  <c r="K97" i="30"/>
  <c r="O96" i="30"/>
  <c r="L96" i="30"/>
  <c r="K96" i="30"/>
  <c r="O100" i="30"/>
  <c r="L100" i="30"/>
  <c r="K100" i="30"/>
  <c r="O99" i="30"/>
  <c r="L99" i="30"/>
  <c r="K99" i="30"/>
  <c r="O98" i="30"/>
  <c r="L98" i="30"/>
  <c r="K98" i="30"/>
  <c r="O101" i="30"/>
  <c r="L101" i="30"/>
  <c r="K101" i="30"/>
  <c r="O88" i="30"/>
  <c r="L88" i="30"/>
  <c r="K88" i="30"/>
  <c r="O89" i="30"/>
  <c r="L89" i="30"/>
  <c r="K89" i="30"/>
  <c r="O90" i="30"/>
  <c r="L90" i="30"/>
  <c r="K90" i="30"/>
  <c r="O93" i="30"/>
  <c r="L93" i="30"/>
  <c r="K93" i="30"/>
  <c r="O87" i="30"/>
  <c r="L87" i="30"/>
  <c r="K87" i="30"/>
  <c r="O79" i="30"/>
  <c r="L79" i="30"/>
  <c r="K79" i="30"/>
  <c r="O85" i="30"/>
  <c r="L85" i="30"/>
  <c r="K85" i="30"/>
  <c r="O80" i="30"/>
  <c r="L80" i="30"/>
  <c r="K80" i="30"/>
  <c r="O86" i="30"/>
  <c r="L86" i="30"/>
  <c r="K86" i="30"/>
  <c r="O81" i="30"/>
  <c r="L81" i="30"/>
  <c r="K81" i="30"/>
  <c r="O84" i="30"/>
  <c r="H84" i="30"/>
  <c r="K84" i="30"/>
  <c r="O82" i="30"/>
  <c r="L82" i="30"/>
  <c r="K82" i="30"/>
  <c r="O83" i="30"/>
  <c r="L83" i="30"/>
  <c r="K83" i="30"/>
  <c r="O69" i="30"/>
  <c r="L69" i="30"/>
  <c r="K69" i="30"/>
  <c r="O71" i="30"/>
  <c r="L71" i="30"/>
  <c r="K71" i="30"/>
  <c r="O72" i="30"/>
  <c r="L72" i="30"/>
  <c r="K72" i="30"/>
  <c r="O70" i="30"/>
  <c r="L70" i="30"/>
  <c r="K70" i="30"/>
  <c r="O74" i="30"/>
  <c r="L74" i="30"/>
  <c r="K74" i="30"/>
  <c r="O73" i="30"/>
  <c r="L73" i="30"/>
  <c r="K73" i="30"/>
  <c r="O77" i="30"/>
  <c r="L77" i="30"/>
  <c r="K77" i="30"/>
  <c r="O76" i="30"/>
  <c r="L76" i="30"/>
  <c r="K76" i="30"/>
  <c r="O68" i="30"/>
  <c r="L68" i="30"/>
  <c r="K68" i="30"/>
  <c r="O75" i="30"/>
  <c r="L75" i="30"/>
  <c r="K75" i="30"/>
  <c r="O78" i="30"/>
  <c r="L78" i="30"/>
  <c r="K78" i="30"/>
  <c r="O62" i="30"/>
  <c r="L62" i="30"/>
  <c r="K62" i="30"/>
  <c r="O61" i="30"/>
  <c r="L61" i="30"/>
  <c r="K61" i="30"/>
  <c r="O64" i="30"/>
  <c r="L64" i="30"/>
  <c r="K64" i="30"/>
  <c r="O63" i="30"/>
  <c r="L63" i="30"/>
  <c r="K63" i="30"/>
  <c r="K65" i="30"/>
  <c r="F65" i="30"/>
  <c r="L65" i="30"/>
  <c r="O66" i="30"/>
  <c r="L66" i="30"/>
  <c r="K66" i="30"/>
  <c r="K67" i="30"/>
  <c r="F67" i="30"/>
  <c r="L67" i="30"/>
  <c r="L32" i="30"/>
  <c r="K31" i="30"/>
  <c r="O40" i="30"/>
  <c r="L40" i="30"/>
  <c r="K40" i="30"/>
  <c r="O39" i="30"/>
  <c r="L39" i="30"/>
  <c r="K39" i="30"/>
  <c r="O38" i="30"/>
  <c r="L38" i="30"/>
  <c r="K38" i="30"/>
  <c r="O44" i="30"/>
  <c r="L44" i="30"/>
  <c r="K44" i="30"/>
  <c r="O41" i="30"/>
  <c r="L41" i="30"/>
  <c r="K41" i="30"/>
  <c r="O43" i="30"/>
  <c r="H43" i="30"/>
  <c r="L43" i="30"/>
  <c r="O42" i="30"/>
  <c r="H42" i="30"/>
  <c r="L42" i="30"/>
  <c r="O46" i="30"/>
  <c r="L46" i="30"/>
  <c r="K46" i="30"/>
  <c r="O48" i="30"/>
  <c r="L48" i="30"/>
  <c r="K48" i="30"/>
  <c r="O47" i="30"/>
  <c r="L47" i="30"/>
  <c r="K47" i="30"/>
  <c r="O45" i="30"/>
  <c r="L45" i="30"/>
  <c r="K45" i="30"/>
  <c r="F59" i="30"/>
  <c r="O59" i="30"/>
  <c r="K59" i="30"/>
  <c r="F60" i="30"/>
  <c r="O60" i="30"/>
  <c r="K60" i="30"/>
  <c r="I58" i="30"/>
  <c r="K58" i="30"/>
  <c r="L58" i="30"/>
  <c r="O58" i="30"/>
  <c r="K57" i="30"/>
  <c r="L57" i="30"/>
  <c r="O57" i="30"/>
  <c r="O49" i="30"/>
  <c r="L49" i="30"/>
  <c r="K49" i="30"/>
  <c r="O50" i="30"/>
  <c r="L50" i="30"/>
  <c r="K50" i="30"/>
  <c r="O53" i="30"/>
  <c r="L53" i="30"/>
  <c r="K53" i="30"/>
  <c r="O52" i="30"/>
  <c r="L52" i="30"/>
  <c r="K52" i="30"/>
  <c r="O51" i="30"/>
  <c r="L51" i="30"/>
  <c r="K51" i="30"/>
  <c r="O56" i="30"/>
  <c r="L56" i="30"/>
  <c r="K56" i="30"/>
  <c r="O55" i="30"/>
  <c r="L55" i="30"/>
  <c r="K55" i="30"/>
  <c r="O54" i="30"/>
  <c r="L54" i="30"/>
  <c r="K54" i="30"/>
  <c r="D6" i="26"/>
  <c r="F6" i="26"/>
  <c r="G6" i="26"/>
  <c r="D12" i="26"/>
  <c r="F12" i="26"/>
  <c r="D11" i="26"/>
  <c r="G11" i="26"/>
  <c r="F11" i="26"/>
  <c r="D10" i="26"/>
  <c r="D9" i="26"/>
  <c r="D8" i="26"/>
  <c r="F8" i="26"/>
  <c r="G8" i="26"/>
  <c r="D7" i="26"/>
  <c r="F7" i="26"/>
  <c r="G7" i="26"/>
  <c r="L60" i="30"/>
  <c r="L17" i="30"/>
  <c r="F9" i="26"/>
  <c r="G9" i="26"/>
  <c r="K42" i="30"/>
  <c r="L129" i="30"/>
  <c r="L18" i="30"/>
  <c r="K123" i="30"/>
  <c r="O91" i="30"/>
  <c r="O119" i="30"/>
  <c r="O67" i="30"/>
  <c r="O123" i="30"/>
  <c r="K119" i="30"/>
  <c r="O130" i="30"/>
  <c r="F10" i="26"/>
  <c r="G10" i="26"/>
  <c r="F13" i="26"/>
  <c r="G13" i="26"/>
  <c r="D15" i="26"/>
  <c r="G12" i="26"/>
  <c r="L59" i="30"/>
  <c r="K13" i="1"/>
  <c r="L13" i="1"/>
  <c r="F15" i="26"/>
  <c r="G15" i="26"/>
  <c r="K11" i="30"/>
  <c r="O92" i="30"/>
  <c r="L84" i="30"/>
  <c r="O65" i="30"/>
  <c r="O118" i="30"/>
  <c r="K43" i="30"/>
  <c r="K16" i="30"/>
  <c r="A1" i="23" a="1"/>
  <c r="A1" i="23"/>
  <c r="L15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<sst xmlns="http://schemas.openxmlformats.org/spreadsheetml/2006/main" count="758" uniqueCount="360">
  <si>
    <t>Ganancia</t>
  </si>
  <si>
    <t>PEDIDOS USA</t>
  </si>
  <si>
    <t>Calculos para pedidos</t>
  </si>
  <si>
    <t>Cargo fijo envio</t>
  </si>
  <si>
    <t>Cliente</t>
  </si>
  <si>
    <t>Precio total</t>
  </si>
  <si>
    <t>Items</t>
  </si>
  <si>
    <t>Fecha compra</t>
  </si>
  <si>
    <t>Anticipo</t>
  </si>
  <si>
    <t>Abono 1</t>
  </si>
  <si>
    <t>Abono 2</t>
  </si>
  <si>
    <t>Fecha entrega</t>
  </si>
  <si>
    <t>Pagado nosotros</t>
  </si>
  <si>
    <t>Restante</t>
  </si>
  <si>
    <t>Valor exacto pedido</t>
  </si>
  <si>
    <t xml:space="preserve">Precio cliente </t>
  </si>
  <si>
    <t>Precio cliente COP</t>
  </si>
  <si>
    <t>Valor libra</t>
  </si>
  <si>
    <t>Erney Intap</t>
  </si>
  <si>
    <t>Liliana tesorera</t>
  </si>
  <si>
    <t>U</t>
  </si>
  <si>
    <t>Referencia</t>
  </si>
  <si>
    <t>Crocs</t>
  </si>
  <si>
    <t>Nike Dunk Low Multicolor</t>
  </si>
  <si>
    <t>Adidas  Ultraboost</t>
  </si>
  <si>
    <t>Talla</t>
  </si>
  <si>
    <t>38-8</t>
  </si>
  <si>
    <t>8.5US</t>
  </si>
  <si>
    <t>Nike Jordan 1 Low Morados</t>
  </si>
  <si>
    <t>9US W</t>
  </si>
  <si>
    <t>9US M</t>
  </si>
  <si>
    <t>Nike Jordan 1 MID Negro/Rojo</t>
  </si>
  <si>
    <t>39-9</t>
  </si>
  <si>
    <t>9.5US W</t>
  </si>
  <si>
    <t>Gastado</t>
  </si>
  <si>
    <t>Nike Air Force 1 '07 Next Nature W</t>
  </si>
  <si>
    <t>Valor ORIGINAL</t>
  </si>
  <si>
    <t>GANANCIA</t>
  </si>
  <si>
    <t>Julian Blandon</t>
  </si>
  <si>
    <t>Jordan 1 Low Archaeo Brown</t>
  </si>
  <si>
    <t>8.5US M</t>
  </si>
  <si>
    <t>Andres Alzate</t>
  </si>
  <si>
    <t>7.5US M</t>
  </si>
  <si>
    <t>Softride Symmetry Fuzion</t>
  </si>
  <si>
    <t>Santiago Amigo Gafas</t>
  </si>
  <si>
    <t>Nike Air Max 90 Drift</t>
  </si>
  <si>
    <t>10US M</t>
  </si>
  <si>
    <t xml:space="preserve">	
Puma Court Pro</t>
  </si>
  <si>
    <t>PUMA Dribble</t>
  </si>
  <si>
    <t>Nike Air Force 1 '07 Next Nature</t>
  </si>
  <si>
    <t>7.5US W</t>
  </si>
  <si>
    <t>EN CASILLERO</t>
  </si>
  <si>
    <t>Nike Air Force 1 '07 BLANCO</t>
  </si>
  <si>
    <t>CAMI</t>
  </si>
  <si>
    <t>JULIAN</t>
  </si>
  <si>
    <t>EXTERNO</t>
  </si>
  <si>
    <t>PAGADO</t>
  </si>
  <si>
    <t>Nike Sportswear Club Men's Long-Sleeve T-Shirt</t>
  </si>
  <si>
    <t>TRACKING</t>
  </si>
  <si>
    <t xml:space="preserve">1ZH4F8230364017549 </t>
  </si>
  <si>
    <t xml:space="preserve">1ZH4F2980303981125 </t>
  </si>
  <si>
    <t xml:space="preserve">1Z9144R90301436800 </t>
  </si>
  <si>
    <t xml:space="preserve">1ZH4F2980305602101 </t>
  </si>
  <si>
    <t xml:space="preserve">421749172413 </t>
  </si>
  <si>
    <t>1ZH4F2980307283319</t>
  </si>
  <si>
    <t>Daniel Amaya</t>
  </si>
  <si>
    <t>Envio</t>
  </si>
  <si>
    <t>8US H</t>
  </si>
  <si>
    <t>New Balance 1906R</t>
  </si>
  <si>
    <t>Santiago Arango YIYI</t>
  </si>
  <si>
    <t>Nike Jordan 1 LOW SE</t>
  </si>
  <si>
    <t xml:space="preserve">4.5Y </t>
  </si>
  <si>
    <t>10 US H</t>
  </si>
  <si>
    <t>CK Glenti</t>
  </si>
  <si>
    <t>CK Falconi</t>
  </si>
  <si>
    <t>1Z0476YW0365591414</t>
  </si>
  <si>
    <t>1Z9YA775YW55702179</t>
  </si>
  <si>
    <t>Gorra monastery</t>
  </si>
  <si>
    <t xml:space="preserve">Adidas </t>
  </si>
  <si>
    <t>44EUR</t>
  </si>
  <si>
    <t xml:space="preserve">Nike court </t>
  </si>
  <si>
    <t>37EUR</t>
  </si>
  <si>
    <t>Tatiana Visdecol</t>
  </si>
  <si>
    <t>Emmanuel Arenilla</t>
  </si>
  <si>
    <t>Jordan 1 Low</t>
  </si>
  <si>
    <t>12US H</t>
  </si>
  <si>
    <t>1ZH4F8230368845594</t>
  </si>
  <si>
    <t>x</t>
  </si>
  <si>
    <t>ENTREGADO</t>
  </si>
  <si>
    <t>Nike Dunk</t>
  </si>
  <si>
    <t>42EUR</t>
  </si>
  <si>
    <t>7US H</t>
  </si>
  <si>
    <t>Nike Air Force 1 '07 LV8</t>
  </si>
  <si>
    <t>6US H</t>
  </si>
  <si>
    <t>Ganancias</t>
  </si>
  <si>
    <t>L H</t>
  </si>
  <si>
    <t>1Z6R014V0369701006</t>
  </si>
  <si>
    <t>1ZH4F2880302157288</t>
  </si>
  <si>
    <t>1ZH4F2980326414623</t>
  </si>
  <si>
    <t>7.5 US M</t>
  </si>
  <si>
    <t>Adidas Bad Bunny Last Campus</t>
  </si>
  <si>
    <t>9 US H</t>
  </si>
  <si>
    <t xml:space="preserve">770546247196 </t>
  </si>
  <si>
    <t>1ZWY82100312122352</t>
  </si>
  <si>
    <t>Vans Ultrarange</t>
  </si>
  <si>
    <t>9US H</t>
  </si>
  <si>
    <t xml:space="preserve">
Nike Court Vision Low</t>
  </si>
  <si>
    <t>7.5US H</t>
  </si>
  <si>
    <t>Cristina Ramirez</t>
  </si>
  <si>
    <t>Guess Denesa</t>
  </si>
  <si>
    <t>6.5 US M</t>
  </si>
  <si>
    <t>Laura Hernandez</t>
  </si>
  <si>
    <t>Perfume Mandarin SKY</t>
  </si>
  <si>
    <t>100ML</t>
  </si>
  <si>
    <t>1ZE5R546YW00619884</t>
  </si>
  <si>
    <t>1Z7R3F940394293523</t>
  </si>
  <si>
    <t>1ZH4F2980330144372</t>
  </si>
  <si>
    <t>Tata</t>
  </si>
  <si>
    <t>Nike Tekno</t>
  </si>
  <si>
    <t>39 Nacional M</t>
  </si>
  <si>
    <t>Yovanny</t>
  </si>
  <si>
    <t>105ML</t>
  </si>
  <si>
    <t xml:space="preserve">
Club de nuit intense</t>
  </si>
  <si>
    <t>PRESTAMO</t>
  </si>
  <si>
    <t>Sebastian Corrales</t>
  </si>
  <si>
    <t>Ralph Lauren Polo Blue Eau de Toilette</t>
  </si>
  <si>
    <t>125ML</t>
  </si>
  <si>
    <t>Mandarin Sky</t>
  </si>
  <si>
    <t xml:space="preserve">Khamrah </t>
  </si>
  <si>
    <t xml:space="preserve">Nike Court Borough Low </t>
  </si>
  <si>
    <t>5Y</t>
  </si>
  <si>
    <t>Nike Court Vision Low Next Nature</t>
  </si>
  <si>
    <t>1Z7R3F940397324663</t>
  </si>
  <si>
    <t>1Z195FR60350802368</t>
  </si>
  <si>
    <t>1ZH4F2980335905942</t>
  </si>
  <si>
    <t>ENVIO</t>
  </si>
  <si>
    <t>Nike dunk panda</t>
  </si>
  <si>
    <t>1Z195FR60351982627</t>
  </si>
  <si>
    <t>Nike Air Force 1 LV8</t>
  </si>
  <si>
    <t>6.5Y</t>
  </si>
  <si>
    <t>Paulina</t>
  </si>
  <si>
    <t xml:space="preserve"> Jordan 1 Low </t>
  </si>
  <si>
    <t>1Z195FR60352370698</t>
  </si>
  <si>
    <t>1Z195FR60352649003</t>
  </si>
  <si>
    <t>Nike Big Low</t>
  </si>
  <si>
    <t>Valor dólar cliente</t>
  </si>
  <si>
    <t>Liliana Lopez</t>
  </si>
  <si>
    <t>Ahli overdoze</t>
  </si>
  <si>
    <t>66ML</t>
  </si>
  <si>
    <t>X</t>
  </si>
  <si>
    <t>1Z195FR60353036280</t>
  </si>
  <si>
    <t>V. peso</t>
  </si>
  <si>
    <t xml:space="preserve">Peso </t>
  </si>
  <si>
    <t>V. redondeado</t>
  </si>
  <si>
    <t>Ganancia COP</t>
  </si>
  <si>
    <t>New Balance 327</t>
  </si>
  <si>
    <t>6US M</t>
  </si>
  <si>
    <t>1ZA821T10396092455</t>
  </si>
  <si>
    <t>Reloj Guess</t>
  </si>
  <si>
    <t>Calvin klein</t>
  </si>
  <si>
    <t>Club de nuit intense</t>
  </si>
  <si>
    <t>100ml</t>
  </si>
  <si>
    <t>Sara Jaramillo</t>
  </si>
  <si>
    <t xml:space="preserve">Clinique Happy </t>
  </si>
  <si>
    <t>Montale Arabians  tonka</t>
  </si>
  <si>
    <t>Emanuel Alzate</t>
  </si>
  <si>
    <t>11US M</t>
  </si>
  <si>
    <t>Puma Dribble</t>
  </si>
  <si>
    <t>7.5US</t>
  </si>
  <si>
    <t>Odissey mandarin sky</t>
  </si>
  <si>
    <t>Nike Court Borough Low Recraft SE</t>
  </si>
  <si>
    <t>Air Jordan 1 Mid 'Iron Grey'</t>
  </si>
  <si>
    <t>11 US H</t>
  </si>
  <si>
    <t>7Y - 8.5 US M</t>
  </si>
  <si>
    <t>Juana</t>
  </si>
  <si>
    <t>Lattafa honor and glory</t>
  </si>
  <si>
    <t>1Z195FR60361554946</t>
  </si>
  <si>
    <t>Nike Dunk Low SE</t>
  </si>
  <si>
    <t xml:space="preserve"> </t>
  </si>
  <si>
    <t>8.5 US M</t>
  </si>
  <si>
    <t>Calvin Klein Acre</t>
  </si>
  <si>
    <t>CELULAR</t>
  </si>
  <si>
    <t>DIRECCION DE ENTREGA</t>
  </si>
  <si>
    <t>Calle 61 # 55 a 51 barrio tablazo itagui</t>
  </si>
  <si>
    <t>Air Jordan 1 LOW</t>
  </si>
  <si>
    <t>Air Jordan 1 Low 'Gold Swoosh'</t>
  </si>
  <si>
    <t>9.5US H</t>
  </si>
  <si>
    <t>Buso ck capucha negro</t>
  </si>
  <si>
    <t>M</t>
  </si>
  <si>
    <t>Sweatter negro</t>
  </si>
  <si>
    <t>L</t>
  </si>
  <si>
    <t>Boxers</t>
  </si>
  <si>
    <t>Estefania Agudelo</t>
  </si>
  <si>
    <t>Bharara king</t>
  </si>
  <si>
    <t>Edgar Marulanda</t>
  </si>
  <si>
    <t>Jordan 1 MID SE "PARIS"</t>
  </si>
  <si>
    <t xml:space="preserve">CH very good girl </t>
  </si>
  <si>
    <t>80ml</t>
  </si>
  <si>
    <t>Lattafa morada</t>
  </si>
  <si>
    <t>Sandalias CK</t>
  </si>
  <si>
    <t>9US</t>
  </si>
  <si>
    <t>Estefania Osorio</t>
  </si>
  <si>
    <t>10US</t>
  </si>
  <si>
    <t>8US</t>
  </si>
  <si>
    <t>Sebastian Perez</t>
  </si>
  <si>
    <t>1 Million lucky</t>
  </si>
  <si>
    <t>Olga Perez</t>
  </si>
  <si>
    <t>Bolso Jordan</t>
  </si>
  <si>
    <t>46L</t>
  </si>
  <si>
    <t>PERFUMES</t>
  </si>
  <si>
    <t>Reloj guess rojo</t>
  </si>
  <si>
    <t>1Z6A4Y720318063872</t>
  </si>
  <si>
    <t>Tenis CK</t>
  </si>
  <si>
    <t>Lattafa now woman</t>
  </si>
  <si>
    <t>lataffa yara</t>
  </si>
  <si>
    <t>Mandarin sky</t>
  </si>
  <si>
    <t>Nike cout vision low</t>
  </si>
  <si>
    <t>7US M</t>
  </si>
  <si>
    <t>Guess PHOENIX</t>
  </si>
  <si>
    <t>Lattafa Yara</t>
  </si>
  <si>
    <t>Sandalias puma</t>
  </si>
  <si>
    <t>Stiven Isaza Marin</t>
  </si>
  <si>
    <t>Calvin Klein Falconi</t>
  </si>
  <si>
    <t>Buzo Calvin Klein</t>
  </si>
  <si>
    <t>9 US M</t>
  </si>
  <si>
    <t>Camilo Orrego</t>
  </si>
  <si>
    <t>AJ1 low</t>
  </si>
  <si>
    <t>NO</t>
  </si>
  <si>
    <t xml:space="preserve">   </t>
  </si>
  <si>
    <t>Articulo</t>
  </si>
  <si>
    <t>STOCK</t>
  </si>
  <si>
    <t>V. venta</t>
  </si>
  <si>
    <t>Armaf Ladies Odyssey Candee</t>
  </si>
  <si>
    <t>Lattafa Ladies Bade'e Al Oud Noble Blush</t>
  </si>
  <si>
    <t>Maison Alhambra Ladies Delilah</t>
  </si>
  <si>
    <t>Emper Unisex Stallion 53</t>
  </si>
  <si>
    <t>Dumont Men's Nitro Red</t>
  </si>
  <si>
    <t xml:space="preserve">Armaf Men's Odyssey Mandarin Sky Elixir </t>
  </si>
  <si>
    <t xml:space="preserve">Armaf Men's Odyssey Mandarin Sky </t>
  </si>
  <si>
    <t>IMPUESTOS</t>
  </si>
  <si>
    <t>Delilah</t>
  </si>
  <si>
    <t>Monogram Logo Fleece Hoodie</t>
  </si>
  <si>
    <t>XL</t>
  </si>
  <si>
    <t>Archive Logo Fleece Hoodie</t>
  </si>
  <si>
    <t>Standard Logo French Terry Relaxed</t>
  </si>
  <si>
    <t>ROPA</t>
  </si>
  <si>
    <t>V. compra (ART+TAX+ENVIO)</t>
  </si>
  <si>
    <t>50% - 80%</t>
  </si>
  <si>
    <t xml:space="preserve">  </t>
  </si>
  <si>
    <t>8.5US H</t>
  </si>
  <si>
    <t>Nike initiator</t>
  </si>
  <si>
    <t>Guayos phantom</t>
  </si>
  <si>
    <t>5.5 US M</t>
  </si>
  <si>
    <t>GUAYOS, INITIATOR</t>
  </si>
  <si>
    <t>Antony morato</t>
  </si>
  <si>
    <t>41EUR</t>
  </si>
  <si>
    <t>1ZH4F2980389320197</t>
  </si>
  <si>
    <t>SI</t>
  </si>
  <si>
    <t xml:space="preserve">                                         </t>
  </si>
  <si>
    <t>% ganancia</t>
  </si>
  <si>
    <t>Vendido</t>
  </si>
  <si>
    <t>Nike Initiator</t>
  </si>
  <si>
    <t>Sandalias Adidas</t>
  </si>
  <si>
    <t>6H - 7M</t>
  </si>
  <si>
    <t>Nike Dunk Low Mostaza</t>
  </si>
  <si>
    <t>Nike Dunk Low Verdes</t>
  </si>
  <si>
    <t>Nike Wms Dunk Low 'Light Soft Pink'</t>
  </si>
  <si>
    <t>Emanuel Ramirez</t>
  </si>
  <si>
    <t>8US M</t>
  </si>
  <si>
    <t>Tenis Nike Heritage</t>
  </si>
  <si>
    <t>-</t>
  </si>
  <si>
    <t>S/M</t>
  </si>
  <si>
    <t>Creative Recreation</t>
  </si>
  <si>
    <t xml:space="preserve">Ana Maria </t>
  </si>
  <si>
    <t>Sebastian Araque</t>
  </si>
  <si>
    <t>Camila Zapata</t>
  </si>
  <si>
    <t>Claudia Bonilla</t>
  </si>
  <si>
    <t>Estiven Torres</t>
  </si>
  <si>
    <t>Fernando Rivera</t>
  </si>
  <si>
    <t>Jerry Vasquez</t>
  </si>
  <si>
    <t>Jose Pasos</t>
  </si>
  <si>
    <t>Juan Pablo Salazar</t>
  </si>
  <si>
    <t>Julian Londoño</t>
  </si>
  <si>
    <t>Maria Fernanda Londoño</t>
  </si>
  <si>
    <t>Yojan Alzate</t>
  </si>
  <si>
    <t>Raul Londoño</t>
  </si>
  <si>
    <t>Natalia Granada</t>
  </si>
  <si>
    <t>Mauricio Zea</t>
  </si>
  <si>
    <t>Leon Zapata</t>
  </si>
  <si>
    <t>Nike Air Zoom Upturn SC</t>
  </si>
  <si>
    <t>8 US H</t>
  </si>
  <si>
    <t>Gorra Jordan</t>
  </si>
  <si>
    <t>Olga CK</t>
  </si>
  <si>
    <t>1Z83Y1X20346324097</t>
  </si>
  <si>
    <t>Jose Manuel Rengifo Correa</t>
  </si>
  <si>
    <t>Nike Air max ishod</t>
  </si>
  <si>
    <t>cra 18a #56-44, Medellin. Barrio la libertad</t>
  </si>
  <si>
    <t>Jose Manuel Rengifo</t>
  </si>
  <si>
    <t>Camiseta Puma Naranjada</t>
  </si>
  <si>
    <t>1ZH4F2980399642268</t>
  </si>
  <si>
    <t>Nike V2K Run</t>
  </si>
  <si>
    <t>9.5US M</t>
  </si>
  <si>
    <t>Camiseta Nike Wrestling</t>
  </si>
  <si>
    <t>Buzo Nike Primary Fleece</t>
  </si>
  <si>
    <t>Paulina, Sebastian, Laura y Medias</t>
  </si>
  <si>
    <t>Nike Cortez Gris</t>
  </si>
  <si>
    <t>Diego Muñoz</t>
  </si>
  <si>
    <t>Air Jordan 1 Low</t>
  </si>
  <si>
    <t>Nike air zoom spiridon cage 2</t>
  </si>
  <si>
    <t>Nike Air force 1 - Medias Training</t>
  </si>
  <si>
    <t>Nike Cortez Blanco Negro</t>
  </si>
  <si>
    <t>5.5US M</t>
  </si>
  <si>
    <t>Jose Pasos, Julian Blandon</t>
  </si>
  <si>
    <t>1Z3YY4081206096684</t>
  </si>
  <si>
    <t>1ZR1G1060311246404</t>
  </si>
  <si>
    <t>Tatan Bedoya</t>
  </si>
  <si>
    <t>Nike V5 RNR</t>
  </si>
  <si>
    <t>1ZH4F2980302498785</t>
  </si>
  <si>
    <t>Santiago Morales</t>
  </si>
  <si>
    <t>Nike Air Max Plus - PSG</t>
  </si>
  <si>
    <t>Nike Air max 95</t>
  </si>
  <si>
    <t>Morales nike</t>
  </si>
  <si>
    <t>Nike tech - NEGRO</t>
  </si>
  <si>
    <t>Nike tech - CREMA</t>
  </si>
  <si>
    <t>PRESTAMO JULIAN A GOAT</t>
  </si>
  <si>
    <t>Morales GOAT</t>
  </si>
  <si>
    <t>886430178928</t>
  </si>
  <si>
    <t>1ZH4F8230395067615</t>
  </si>
  <si>
    <t>12&amp;</t>
  </si>
  <si>
    <t>6.5US M</t>
  </si>
  <si>
    <t>Calvin Klein Karyne2</t>
  </si>
  <si>
    <t>BOLSAS</t>
  </si>
  <si>
    <t>1Z25Y0500351809472</t>
  </si>
  <si>
    <t>1ZH4F2980308316424</t>
  </si>
  <si>
    <t>886666251780</t>
  </si>
  <si>
    <t>1Z3YY4080314720223</t>
  </si>
  <si>
    <t>Pandora</t>
  </si>
  <si>
    <t>7.5 IN</t>
  </si>
  <si>
    <t>Pandora YIYI</t>
  </si>
  <si>
    <t>Reloj Guess Verde</t>
  </si>
  <si>
    <t>1ZR569370365910945</t>
  </si>
  <si>
    <t>Bairon Rivera</t>
  </si>
  <si>
    <t>IVA</t>
  </si>
  <si>
    <t>Camiseta, Sudadera y gorra Adidas</t>
  </si>
  <si>
    <t>Johana</t>
  </si>
  <si>
    <t>Timberland</t>
  </si>
  <si>
    <t>1Z97Y11A0306351799</t>
  </si>
  <si>
    <t>887862845505</t>
  </si>
  <si>
    <t>Sebastian Guzman</t>
  </si>
  <si>
    <t>Nike AF1 - J1 LOW</t>
  </si>
  <si>
    <t>Nike AF1</t>
  </si>
  <si>
    <t>Nike AL8</t>
  </si>
  <si>
    <t>1ZYW72270340219533</t>
  </si>
  <si>
    <t>1ZYW72270340250203</t>
  </si>
  <si>
    <t>1ZV1151Y0329361894</t>
  </si>
  <si>
    <t>JBL</t>
  </si>
  <si>
    <t>Adidas Supertar Blancos</t>
  </si>
  <si>
    <t>Medias Nike</t>
  </si>
  <si>
    <t>RECIBIDO</t>
  </si>
  <si>
    <t>Nike Dunk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</si>
</sst>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111111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rgb="FF000000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ptos"/>
      <family val="2"/>
    </font>
    <font>
      <sz val="14"/>
      <name val="Aptos Narrow"/>
      <family val="2"/>
      <scheme val="minor"/>
    </font>
    <font>
      <sz val="11"/>
      <color rgb="FF363636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92C37"/>
      <name val="Arial"/>
      <family val="2"/>
    </font>
    <font>
      <b/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11111"/>
      <name val="Arial"/>
      <family val="2"/>
    </font>
    <font>
      <sz val="11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42">
    <xf numFmtId="0" fontId="0" fillId="0" borderId="0" xfId="0"/>
    <xf numFmtId="164" fontId="0" fillId="0" borderId="0" xfId="0" applyNumberFormat="1"/>
    <xf numFmtId="164" fontId="5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44" fontId="5" fillId="0" borderId="1" xfId="0" applyNumberFormat="1" applyFont="1" applyBorder="1" applyAlignment="1">
      <alignment horizontal="center" vertical="center" wrapText="1"/>
    </xf>
    <xf numFmtId="44" fontId="5" fillId="2" borderId="1" xfId="0" applyNumberFormat="1" applyFont="1" applyFill="1" applyBorder="1" applyAlignment="1">
      <alignment horizontal="center" vertical="center" wrapText="1"/>
    </xf>
    <xf numFmtId="44" fontId="5" fillId="5" borderId="1" xfId="0" applyNumberFormat="1" applyFont="1" applyFill="1" applyBorder="1" applyAlignment="1">
      <alignment horizontal="center" vertical="center" wrapText="1"/>
    </xf>
    <xf numFmtId="44" fontId="5" fillId="4" borderId="1" xfId="0" applyNumberFormat="1" applyFont="1" applyFill="1" applyBorder="1" applyAlignment="1">
      <alignment horizontal="center" vertical="center" wrapText="1"/>
    </xf>
    <xf numFmtId="44" fontId="4" fillId="5" borderId="1" xfId="0" applyNumberFormat="1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3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8" borderId="1" xfId="0" applyNumberFormat="1" applyFill="1" applyBorder="1" applyAlignment="1">
      <alignment wrapText="1"/>
    </xf>
    <xf numFmtId="164" fontId="9" fillId="0" borderId="0" xfId="0" applyNumberFormat="1" applyFont="1" applyAlignment="1">
      <alignment horizontal="center" vertical="center" wrapText="1"/>
    </xf>
    <xf numFmtId="44" fontId="9" fillId="0" borderId="1" xfId="0" applyNumberFormat="1" applyFont="1" applyBorder="1" applyAlignment="1">
      <alignment horizontal="center" vertical="center" wrapText="1"/>
    </xf>
    <xf numFmtId="44" fontId="10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164" fontId="12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 wrapText="1"/>
    </xf>
    <xf numFmtId="44" fontId="9" fillId="0" borderId="0" xfId="0" applyNumberFormat="1" applyFon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44" fontId="0" fillId="0" borderId="0" xfId="0" applyNumberFormat="1"/>
    <xf numFmtId="164" fontId="16" fillId="7" borderId="1" xfId="0" applyNumberFormat="1" applyFont="1" applyFill="1" applyBorder="1"/>
    <xf numFmtId="44" fontId="1" fillId="0" borderId="0" xfId="0" applyNumberFormat="1" applyFont="1"/>
    <xf numFmtId="44" fontId="0" fillId="0" borderId="0" xfId="0" applyNumberFormat="1" applyAlignment="1">
      <alignment vertical="center"/>
    </xf>
    <xf numFmtId="4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left" vertical="center"/>
    </xf>
    <xf numFmtId="44" fontId="1" fillId="0" borderId="6" xfId="0" applyNumberFormat="1" applyFont="1" applyBorder="1" applyAlignment="1">
      <alignment horizontal="center" vertical="center"/>
    </xf>
    <xf numFmtId="44" fontId="1" fillId="0" borderId="5" xfId="0" applyNumberFormat="1" applyFont="1" applyBorder="1" applyAlignment="1">
      <alignment vertical="center"/>
    </xf>
    <xf numFmtId="44" fontId="0" fillId="0" borderId="1" xfId="0" applyNumberFormat="1" applyBorder="1" applyAlignment="1">
      <alignment vertical="center"/>
    </xf>
    <xf numFmtId="44" fontId="0" fillId="0" borderId="8" xfId="0" applyNumberForma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 applyAlignment="1"/>
    <xf numFmtId="44" fontId="1" fillId="0" borderId="0" xfId="0" applyNumberFormat="1" applyFont="1" applyAlignment="1"/>
    <xf numFmtId="164" fontId="5" fillId="0" borderId="1" xfId="0" applyNumberFormat="1" applyFont="1" applyBorder="1" applyAlignment="1">
      <alignment vertical="center" wrapText="1"/>
    </xf>
    <xf numFmtId="44" fontId="0" fillId="0" borderId="0" xfId="0" applyNumberForma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44" fontId="0" fillId="0" borderId="1" xfId="0" applyNumberFormat="1" applyBorder="1" applyAlignment="1">
      <alignment horizontal="center" vertical="center"/>
    </xf>
    <xf numFmtId="14" fontId="1" fillId="0" borderId="0" xfId="0" applyNumberFormat="1" applyFont="1" applyAlignment="1"/>
    <xf numFmtId="14" fontId="0" fillId="0" borderId="0" xfId="0" applyNumberFormat="1" applyAlignment="1"/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 wrapText="1"/>
    </xf>
    <xf numFmtId="44" fontId="0" fillId="0" borderId="1" xfId="0" applyNumberFormat="1" applyFill="1" applyBorder="1" applyAlignment="1">
      <alignment horizontal="left" vertical="center" wrapText="1"/>
    </xf>
    <xf numFmtId="164" fontId="0" fillId="0" borderId="1" xfId="0" applyNumberFormat="1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Fill="1" applyBorder="1" applyAlignment="1">
      <alignment horizontal="left" vertical="center" wrapText="1"/>
    </xf>
    <xf numFmtId="165" fontId="7" fillId="0" borderId="1" xfId="0" applyNumberFormat="1" applyFont="1" applyFill="1" applyBorder="1" applyAlignment="1">
      <alignment horizontal="left" vertical="center" wrapText="1"/>
    </xf>
    <xf numFmtId="165" fontId="0" fillId="0" borderId="1" xfId="0" applyNumberFormat="1" applyFill="1" applyBorder="1" applyAlignment="1">
      <alignment horizontal="left" vertical="center" wrapText="1"/>
    </xf>
    <xf numFmtId="165" fontId="8" fillId="0" borderId="1" xfId="0" applyNumberFormat="1" applyFont="1" applyFill="1" applyBorder="1" applyAlignment="1">
      <alignment horizontal="left" vertical="center" wrapText="1"/>
    </xf>
    <xf numFmtId="165" fontId="0" fillId="0" borderId="1" xfId="0" applyNumberFormat="1" applyFill="1" applyBorder="1" applyAlignment="1">
      <alignment horizontal="left" vertical="center"/>
    </xf>
    <xf numFmtId="165" fontId="18" fillId="0" borderId="1" xfId="0" applyNumberFormat="1" applyFont="1" applyFill="1" applyBorder="1" applyAlignment="1">
      <alignment horizontal="left" vertical="center" wrapText="1"/>
    </xf>
    <xf numFmtId="165" fontId="14" fillId="0" borderId="1" xfId="0" applyNumberFormat="1" applyFont="1" applyFill="1" applyBorder="1" applyAlignment="1">
      <alignment horizontal="left" vertical="center" wrapText="1"/>
    </xf>
    <xf numFmtId="44" fontId="0" fillId="0" borderId="9" xfId="0" applyNumberFormat="1" applyBorder="1" applyAlignment="1">
      <alignment vertical="center"/>
    </xf>
    <xf numFmtId="44" fontId="0" fillId="2" borderId="1" xfId="0" applyNumberFormat="1" applyFill="1" applyBorder="1" applyAlignment="1">
      <alignment horizontal="center" vertical="center"/>
    </xf>
    <xf numFmtId="0" fontId="1" fillId="0" borderId="0" xfId="0" applyNumberFormat="1" applyFont="1"/>
    <xf numFmtId="0" fontId="0" fillId="0" borderId="0" xfId="0" applyNumberFormat="1"/>
    <xf numFmtId="164" fontId="4" fillId="0" borderId="0" xfId="0" applyNumberFormat="1" applyFont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 wrapText="1"/>
    </xf>
    <xf numFmtId="44" fontId="4" fillId="2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64" fontId="16" fillId="0" borderId="1" xfId="0" applyNumberFormat="1" applyFont="1" applyBorder="1" applyAlignment="1"/>
    <xf numFmtId="0" fontId="23" fillId="0" borderId="1" xfId="2" applyFont="1" applyFill="1" applyBorder="1" applyAlignment="1">
      <alignment horizontal="left" vertical="center"/>
    </xf>
    <xf numFmtId="0" fontId="8" fillId="0" borderId="1" xfId="2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23" fillId="0" borderId="1" xfId="2" applyFont="1" applyBorder="1"/>
    <xf numFmtId="0" fontId="23" fillId="0" borderId="1" xfId="2" quotePrefix="1" applyFont="1" applyFill="1" applyBorder="1" applyAlignment="1">
      <alignment horizontal="left" vertical="center"/>
    </xf>
    <xf numFmtId="0" fontId="22" fillId="8" borderId="1" xfId="0" applyFont="1" applyFill="1" applyBorder="1"/>
    <xf numFmtId="0" fontId="17" fillId="0" borderId="0" xfId="2"/>
    <xf numFmtId="0" fontId="23" fillId="0" borderId="1" xfId="2" quotePrefix="1" applyFont="1" applyBorder="1"/>
    <xf numFmtId="9" fontId="4" fillId="0" borderId="1" xfId="1" applyNumberFormat="1" applyFont="1" applyBorder="1" applyAlignment="1">
      <alignment horizontal="center" vertical="center" wrapText="1"/>
    </xf>
    <xf numFmtId="0" fontId="23" fillId="0" borderId="0" xfId="2" applyFont="1"/>
    <xf numFmtId="164" fontId="8" fillId="8" borderId="4" xfId="0" applyNumberFormat="1" applyFont="1" applyFill="1" applyBorder="1"/>
    <xf numFmtId="44" fontId="0" fillId="0" borderId="1" xfId="0" applyNumberFormat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0" borderId="9" xfId="0" applyNumberFormat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0" fillId="0" borderId="1" xfId="0" applyNumberFormat="1" applyFill="1" applyBorder="1" applyAlignment="1">
      <alignment vertical="center"/>
    </xf>
    <xf numFmtId="164" fontId="2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/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4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16" fillId="0" borderId="4" xfId="0" applyNumberFormat="1" applyFont="1" applyBorder="1"/>
    <xf numFmtId="0" fontId="23" fillId="0" borderId="1" xfId="2" applyFont="1" applyFill="1" applyBorder="1"/>
    <xf numFmtId="14" fontId="0" fillId="0" borderId="1" xfId="0" applyNumberFormat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4" fontId="20" fillId="0" borderId="1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44" fontId="0" fillId="0" borderId="1" xfId="0" applyNumberFormat="1" applyFill="1" applyBorder="1" applyAlignment="1">
      <alignment vertical="center"/>
    </xf>
    <xf numFmtId="44" fontId="0" fillId="0" borderId="1" xfId="0" applyNumberFormat="1" applyBorder="1" applyAlignment="1">
      <alignment vertical="center"/>
    </xf>
    <xf numFmtId="44" fontId="0" fillId="2" borderId="1" xfId="0" applyNumberFormat="1" applyFill="1" applyBorder="1" applyAlignment="1">
      <alignment vertical="center"/>
    </xf>
    <xf numFmtId="44" fontId="0" fillId="0" borderId="2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44" fontId="4" fillId="0" borderId="5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44" fontId="4" fillId="2" borderId="1" xfId="0" applyNumberFormat="1" applyFont="1" applyFill="1" applyBorder="1" applyAlignment="1">
      <alignment vertical="center"/>
    </xf>
    <xf numFmtId="44" fontId="0" fillId="2" borderId="1" xfId="0" applyNumberFormat="1" applyFill="1" applyBorder="1" applyAlignment="1">
      <alignment vertical="center" wrapText="1"/>
    </xf>
    <xf numFmtId="44" fontId="0" fillId="0" borderId="8" xfId="0" applyNumberFormat="1" applyBorder="1" applyAlignment="1">
      <alignment vertical="center"/>
    </xf>
    <xf numFmtId="44" fontId="0" fillId="0" borderId="9" xfId="0" applyNumberFormat="1" applyBorder="1" applyAlignment="1">
      <alignment vertical="center"/>
    </xf>
    <xf numFmtId="44" fontId="0" fillId="0" borderId="0" xfId="0" applyNumberFormat="1" applyAlignment="1">
      <alignment vertical="center"/>
    </xf>
    <xf numFmtId="164" fontId="0" fillId="0" borderId="1" xfId="0" applyNumberFormat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22"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apps.ups.com/WebTracking/track?track=yes&amp;trackNums=1Z195FR60350802368&amp;loc=en_US" TargetMode="External"/><Relationship Id="rId13" Type="http://schemas.openxmlformats.org/officeDocument/2006/relationships/hyperlink" Target="https://wwwapps.ups.com/WebTracking/track?track=yes&amp;trackNums=1ZR1G1060311246404&amp;loc=en_US" TargetMode="External"/><Relationship Id="rId18" Type="http://schemas.openxmlformats.org/officeDocument/2006/relationships/hyperlink" Target="https://wwwapps.ups.com/WebTracking/track?track=yes&amp;trackNums=1ZR1G1060311246404&amp;loc=en_US" TargetMode="External"/><Relationship Id="rId26" Type="http://schemas.openxmlformats.org/officeDocument/2006/relationships/hyperlink" Target="https://wwwapps.ups.com/WebTracking/track?track=yes&amp;trackNums=1ZR1G1060311246404&amp;loc=en_US" TargetMode="External"/><Relationship Id="rId3" Type="http://schemas.openxmlformats.org/officeDocument/2006/relationships/hyperlink" Target="https://www.fedex.com/fedextrack/?tracknumbers=464972364450&amp;locale=en_US" TargetMode="External"/><Relationship Id="rId21" Type="http://schemas.openxmlformats.org/officeDocument/2006/relationships/hyperlink" Target="https://wwwapps.ups.com/WebTracking/track?track=yes&amp;trackNums=1Z25Y0500351809472&amp;loc=en_US" TargetMode="External"/><Relationship Id="rId7" Type="http://schemas.openxmlformats.org/officeDocument/2006/relationships/hyperlink" Target="https://www.fedex.com/fedextrack/?tracknumbers=448471832831&amp;locale=en_US" TargetMode="External"/><Relationship Id="rId12" Type="http://schemas.openxmlformats.org/officeDocument/2006/relationships/hyperlink" Target="https://wwwapps.ups.com/WebTracking/track?track=yes&amp;trackNums=1ZR1G1060311246404&amp;loc=en_US" TargetMode="External"/><Relationship Id="rId17" Type="http://schemas.openxmlformats.org/officeDocument/2006/relationships/hyperlink" Target="https://wwwapps.ups.com/WebTracking/track?track=yes&amp;trackNums=1ZH4F2980302498785&amp;loc=en_US" TargetMode="External"/><Relationship Id="rId25" Type="http://schemas.openxmlformats.org/officeDocument/2006/relationships/hyperlink" Target="https://wwwapps.ups.com/WebTracking/track?track=yes&amp;trackNums=1ZR1G1060311246404&amp;loc=en_US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www.fedex.com/fedextrack/?tracknumbers=464972364450&amp;locale=en_US" TargetMode="External"/><Relationship Id="rId16" Type="http://schemas.openxmlformats.org/officeDocument/2006/relationships/hyperlink" Target="https://wwwapps.ups.com/WebTracking/track?track=yes&amp;trackNums=1ZH4F2980302498785&amp;loc=en_US" TargetMode="External"/><Relationship Id="rId20" Type="http://schemas.openxmlformats.org/officeDocument/2006/relationships/hyperlink" Target="https://wwwapps.ups.com/WebTracking/track?track=yes&amp;trackNums=1ZR1G1060311246404&amp;loc=en_US" TargetMode="External"/><Relationship Id="rId29" Type="http://schemas.openxmlformats.org/officeDocument/2006/relationships/hyperlink" Target="https://wwwapps.ups.com/WebTracking/track?track=yes&amp;trackNums=1ZR1G1060311246404&amp;loc=en_US" TargetMode="External"/><Relationship Id="rId1" Type="http://schemas.openxmlformats.org/officeDocument/2006/relationships/hyperlink" Target="https://wwwapps.ups.com/WebTracking/track?track=yes&amp;trackNums=1Z6A4Y720318063872&amp;loc=en_US" TargetMode="External"/><Relationship Id="rId6" Type="http://schemas.openxmlformats.org/officeDocument/2006/relationships/hyperlink" Target="https://wwwapps.ups.com/WebTracking/track?track=yes&amp;trackNums=1ZH4F2980389320197&amp;loc=en_US" TargetMode="External"/><Relationship Id="rId11" Type="http://schemas.openxmlformats.org/officeDocument/2006/relationships/hyperlink" Target="https://wwwapps.ups.com/WebTracking/track?track=yes&amp;trackNums=1Z195FR60352370698&amp;loc=en_US" TargetMode="External"/><Relationship Id="rId24" Type="http://schemas.openxmlformats.org/officeDocument/2006/relationships/hyperlink" Target="https://wwwapps.ups.com/WebTracking/track?track=yes&amp;trackNums=1ZR1G1060311246404&amp;loc=en_US" TargetMode="External"/><Relationship Id="rId32" Type="http://schemas.openxmlformats.org/officeDocument/2006/relationships/hyperlink" Target="https://wwwapps.ups.com/WebTracking/track?track=yes&amp;trackNums=1ZR1G1060311246404&amp;loc=en_US" TargetMode="External"/><Relationship Id="rId5" Type="http://schemas.openxmlformats.org/officeDocument/2006/relationships/hyperlink" Target="https://wwwapps.ups.com/WebTracking/track?track=yes&amp;trackNums=1ZH4F2980389320197&amp;loc=en_US" TargetMode="External"/><Relationship Id="rId15" Type="http://schemas.openxmlformats.org/officeDocument/2006/relationships/hyperlink" Target="https://wwwapps.ups.com/WebTracking/track?track=yes&amp;trackNums=1ZH4F2980302498785&amp;loc=en_US" TargetMode="External"/><Relationship Id="rId23" Type="http://schemas.openxmlformats.org/officeDocument/2006/relationships/hyperlink" Target="https://wwwapps.ups.com/WebTracking/track?track=yes&amp;trackNums=1ZR1G1060311246404&amp;loc=en_US" TargetMode="External"/><Relationship Id="rId28" Type="http://schemas.openxmlformats.org/officeDocument/2006/relationships/hyperlink" Target="https://wwwapps.ups.com/WebTracking/track?track=yes&amp;trackNums=1ZR1G1060311246404&amp;loc=en_US" TargetMode="External"/><Relationship Id="rId10" Type="http://schemas.openxmlformats.org/officeDocument/2006/relationships/hyperlink" Target="https://wwwapps.ups.com/WebTracking/track?track=yes&amp;trackNums=1ZH4F2980335905942&amp;loc=en_US" TargetMode="External"/><Relationship Id="rId19" Type="http://schemas.openxmlformats.org/officeDocument/2006/relationships/hyperlink" Target="https://wwwapps.ups.com/WebTracking/track?track=yes&amp;trackNums=1ZR1G1060311246404&amp;loc=en_US" TargetMode="External"/><Relationship Id="rId31" Type="http://schemas.openxmlformats.org/officeDocument/2006/relationships/hyperlink" Target="https://wwwapps.ups.com/WebTracking/track?track=yes&amp;trackNums=1ZR1G1060311246404&amp;loc=en_US" TargetMode="External"/><Relationship Id="rId4" Type="http://schemas.openxmlformats.org/officeDocument/2006/relationships/hyperlink" Target="https://mydhl.express.dhl/it/en/tracking.html" TargetMode="External"/><Relationship Id="rId9" Type="http://schemas.openxmlformats.org/officeDocument/2006/relationships/hyperlink" Target="https://wwwapps.ups.com/WebTracking/track?track=yes&amp;trackNums=1ZH4F2980335905942&amp;loc=en_US" TargetMode="External"/><Relationship Id="rId14" Type="http://schemas.openxmlformats.org/officeDocument/2006/relationships/hyperlink" Target="https://wwwapps.ups.com/WebTracking/track?track=yes&amp;trackNums=1ZR1G1060311246404&amp;loc=en_US" TargetMode="External"/><Relationship Id="rId22" Type="http://schemas.openxmlformats.org/officeDocument/2006/relationships/hyperlink" Target="https://wwwapps.ups.com/WebTracking/track?track=yes&amp;trackNums=1Z25Y0500351809472&amp;loc=en_US" TargetMode="External"/><Relationship Id="rId27" Type="http://schemas.openxmlformats.org/officeDocument/2006/relationships/hyperlink" Target="https://wwwapps.ups.com/WebTracking/track?track=yes&amp;trackNums=1ZR1G1060311246404&amp;loc=en_US" TargetMode="External"/><Relationship Id="rId30" Type="http://schemas.openxmlformats.org/officeDocument/2006/relationships/hyperlink" Target="https://wwwapps.ups.com/WebTracking/track?track=yes&amp;trackNums=1ZR1G1060311246404&amp;loc=en_U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C1AC-2592-4293-B0C7-E8BF24D4C813}">
  <dimension ref="A1:N47"/>
  <sheetViews>
    <sheetView showGridLines="0" topLeftCell="H1" zoomScaleNormal="100" workbookViewId="0">
      <selection activeCell="C13" sqref="C13"/>
    </sheetView>
  </sheetViews>
  <sheetFormatPr baseColWidth="10" defaultColWidth="11.625" defaultRowHeight="15"/>
  <cols>
    <col min="1" max="1" width="11" style="3" bestFit="1" customWidth="1"/>
    <col min="2" max="2" width="18.375" style="5" bestFit="1" customWidth="1"/>
    <col min="3" max="3" width="20.75" style="3" bestFit="1" customWidth="1"/>
    <col min="4" max="4" width="16.25" style="3" bestFit="1" customWidth="1"/>
    <col min="5" max="5" width="12.75" style="3" bestFit="1" customWidth="1"/>
    <col min="6" max="6" width="8.75" style="3" bestFit="1" customWidth="1"/>
    <col min="7" max="7" width="12.75" style="3" bestFit="1" customWidth="1"/>
    <col min="8" max="8" width="14.5" style="3" bestFit="1" customWidth="1"/>
    <col min="9" max="9" width="14.875" style="3" bestFit="1" customWidth="1"/>
    <col min="10" max="10" width="18.625" style="3" bestFit="1" customWidth="1"/>
    <col min="11" max="11" width="13.75" style="3" bestFit="1" customWidth="1"/>
    <col min="12" max="12" width="15.375" style="3" bestFit="1" customWidth="1"/>
    <col min="13" max="13" width="12.625" style="3" bestFit="1" customWidth="1"/>
    <col min="14" max="15" width="12.375" style="3" bestFit="1" customWidth="1"/>
    <col min="16" max="16" width="18.125" style="3" bestFit="1" customWidth="1"/>
    <col min="17" max="16384" width="11.625" style="3"/>
  </cols>
  <sheetData>
    <row r="1" spans="1:14">
      <c r="A1" s="118" t="s">
        <v>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5" spans="1:14" ht="16.5">
      <c r="F5" s="4"/>
    </row>
    <row r="6" spans="1:14" ht="15.75" customHeight="1">
      <c r="B6" s="2" t="s">
        <v>145</v>
      </c>
      <c r="C6" s="2" t="s">
        <v>17</v>
      </c>
      <c r="D6" s="43" t="s">
        <v>3</v>
      </c>
      <c r="E6" s="43" t="s">
        <v>259</v>
      </c>
      <c r="F6" s="102" t="s">
        <v>342</v>
      </c>
      <c r="H6" s="119"/>
      <c r="I6" s="119"/>
    </row>
    <row r="7" spans="1:14" ht="16.5">
      <c r="B7" s="103">
        <v>3900</v>
      </c>
      <c r="C7" s="6">
        <v>2</v>
      </c>
      <c r="D7" s="6">
        <v>16</v>
      </c>
      <c r="E7" s="7">
        <v>0.1</v>
      </c>
      <c r="F7" s="7">
        <v>0.19</v>
      </c>
    </row>
    <row r="8" spans="1:14" ht="16.5">
      <c r="B8" s="4"/>
      <c r="E8" s="78"/>
    </row>
    <row r="10" spans="1:14" ht="15" customHeight="1">
      <c r="B10" s="120" t="s">
        <v>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</row>
    <row r="11" spans="1:14" ht="15" customHeight="1"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</row>
    <row r="12" spans="1:14" ht="16.5">
      <c r="B12" s="9" t="s">
        <v>6</v>
      </c>
      <c r="C12" s="10" t="s">
        <v>14</v>
      </c>
      <c r="D12" s="9" t="s">
        <v>153</v>
      </c>
      <c r="E12" s="10" t="s">
        <v>152</v>
      </c>
      <c r="F12" s="9" t="s">
        <v>151</v>
      </c>
      <c r="G12" s="11" t="s">
        <v>0</v>
      </c>
      <c r="H12" s="12" t="s">
        <v>15</v>
      </c>
      <c r="I12" s="13" t="s">
        <v>154</v>
      </c>
      <c r="J12" s="14" t="s">
        <v>16</v>
      </c>
      <c r="K12" s="94">
        <v>0.3</v>
      </c>
      <c r="L12" s="7">
        <v>0.5</v>
      </c>
    </row>
    <row r="13" spans="1:14" ht="16.5">
      <c r="A13" s="27"/>
      <c r="B13" s="29">
        <v>1</v>
      </c>
      <c r="C13" s="22">
        <f>203.3</f>
        <v>203.3</v>
      </c>
      <c r="D13" s="22">
        <f>ROUNDUP(C13,1)</f>
        <v>203.3</v>
      </c>
      <c r="E13" s="26">
        <v>3.4</v>
      </c>
      <c r="F13" s="22">
        <f>E13*C$7</f>
        <v>6.8</v>
      </c>
      <c r="G13" s="22">
        <f>(C13*E7)</f>
        <v>20.330000000000002</v>
      </c>
      <c r="H13" s="79">
        <f>ROUNDUP(D$7+D$13+F13+G13, 0)</f>
        <v>247</v>
      </c>
      <c r="I13" s="22">
        <f>B7*G13</f>
        <v>79287</v>
      </c>
      <c r="J13" s="23">
        <f>ROUNDUP(B$7*H13, -3)</f>
        <v>964000</v>
      </c>
      <c r="K13" s="22">
        <f>J13*K$12</f>
        <v>289200</v>
      </c>
      <c r="L13" s="80">
        <f>J13*L$12</f>
        <v>482000</v>
      </c>
      <c r="M13" s="21"/>
      <c r="N13" s="21"/>
    </row>
    <row r="14" spans="1:14" s="21" customFormat="1" ht="16.5">
      <c r="A14" s="28"/>
      <c r="B14" s="5"/>
      <c r="C14" s="3"/>
      <c r="D14" s="3"/>
      <c r="E14" s="3"/>
      <c r="F14" s="3"/>
      <c r="G14" s="3"/>
      <c r="H14" s="3"/>
      <c r="I14" s="3"/>
      <c r="J14" s="3"/>
      <c r="K14" s="3"/>
      <c r="L14" s="3" t="s">
        <v>178</v>
      </c>
    </row>
    <row r="15" spans="1:14" s="21" customFormat="1" ht="16.5">
      <c r="A15" s="28"/>
      <c r="B15" s="24"/>
      <c r="C15" s="28"/>
      <c r="D15" s="3"/>
      <c r="E15" s="3"/>
      <c r="F15" s="3"/>
      <c r="G15" s="3"/>
      <c r="H15" s="3"/>
      <c r="I15" s="3"/>
      <c r="J15" s="3"/>
      <c r="K15" s="3"/>
      <c r="L15" s="3"/>
    </row>
    <row r="16" spans="1:14" s="21" customFormat="1" ht="16.5">
      <c r="A16" s="28"/>
      <c r="B16" s="5" t="s">
        <v>258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4" s="21" customFormat="1" ht="16.5">
      <c r="A17" s="28"/>
      <c r="B17" s="5"/>
      <c r="C17" s="3"/>
      <c r="D17" s="3"/>
      <c r="E17" s="3"/>
      <c r="F17" s="3"/>
      <c r="G17" s="3"/>
      <c r="H17" s="3"/>
      <c r="I17" s="3"/>
      <c r="J17" s="3" t="s">
        <v>228</v>
      </c>
      <c r="K17" s="3"/>
      <c r="L17" s="3"/>
    </row>
    <row r="18" spans="1:14" s="21" customFormat="1" ht="16.5">
      <c r="A18" s="28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4" s="21" customFormat="1" ht="16.5">
      <c r="A19" s="28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4" s="21" customFormat="1" ht="16.5">
      <c r="A20" s="28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45" spans="1:14">
      <c r="M45" s="21"/>
      <c r="N45" s="21"/>
    </row>
    <row r="46" spans="1:14" s="21" customFormat="1" ht="20.25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25"/>
      <c r="N46" s="25"/>
    </row>
    <row r="47" spans="1:14" s="25" customFormat="1" ht="20.25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</sheetData>
  <mergeCells count="3">
    <mergeCell ref="A1:N3"/>
    <mergeCell ref="H6:I6"/>
    <mergeCell ref="B10:L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A3DE-B51D-446A-82E9-DE7196DECD39}">
  <sheetPr>
    <tabColor theme="9" tint="0.39997558519241921"/>
  </sheetPr>
  <dimension ref="A1:M46"/>
  <sheetViews>
    <sheetView showGridLines="0" workbookViewId="0">
      <selection activeCell="D24" sqref="D24:E24"/>
    </sheetView>
  </sheetViews>
  <sheetFormatPr baseColWidth="10" defaultColWidth="25.875" defaultRowHeight="14.25"/>
  <cols>
    <col min="1" max="2" width="25.875" style="33"/>
    <col min="3" max="3" width="9" style="33" bestFit="1" customWidth="1"/>
    <col min="4" max="5" width="25.875" style="33"/>
    <col min="6" max="6" width="12.875" style="33" bestFit="1" customWidth="1"/>
    <col min="7" max="8" width="25.875" style="33"/>
    <col min="9" max="9" width="13.5" style="33" bestFit="1" customWidth="1"/>
    <col min="10" max="10" width="12.75" style="33" bestFit="1" customWidth="1"/>
    <col min="11" max="11" width="9.375" style="40" bestFit="1" customWidth="1"/>
    <col min="12" max="12" width="12.625" style="33" bestFit="1" customWidth="1"/>
    <col min="13" max="13" width="9.625" style="33" bestFit="1" customWidth="1"/>
    <col min="14" max="16384" width="25.875" style="33"/>
  </cols>
  <sheetData>
    <row r="1" spans="1:13" ht="15">
      <c r="A1" s="121" t="s">
        <v>230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34" t="s">
        <v>209</v>
      </c>
      <c r="M1" s="35">
        <v>0.3</v>
      </c>
    </row>
    <row r="2" spans="1:13" ht="1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34" t="s">
        <v>245</v>
      </c>
      <c r="M2" s="35" t="s">
        <v>247</v>
      </c>
    </row>
    <row r="3" spans="1:13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3" ht="15">
      <c r="A4" s="122" t="s">
        <v>229</v>
      </c>
      <c r="B4" s="122"/>
      <c r="C4" s="36" t="s">
        <v>25</v>
      </c>
      <c r="D4" s="122" t="s">
        <v>246</v>
      </c>
      <c r="E4" s="122"/>
      <c r="F4" s="36" t="s">
        <v>37</v>
      </c>
      <c r="G4" s="122" t="s">
        <v>231</v>
      </c>
      <c r="H4" s="122"/>
      <c r="I4" s="37" t="s">
        <v>239</v>
      </c>
      <c r="J4" s="37" t="s">
        <v>135</v>
      </c>
      <c r="K4" s="45" t="s">
        <v>260</v>
      </c>
    </row>
    <row r="5" spans="1:13">
      <c r="A5" s="124" t="s">
        <v>232</v>
      </c>
      <c r="B5" s="124"/>
      <c r="C5" s="97" t="s">
        <v>161</v>
      </c>
      <c r="D5" s="124">
        <f>128084.76+(I5/8)+(J5/8)</f>
        <v>156518.10375000001</v>
      </c>
      <c r="E5" s="124"/>
      <c r="F5" s="97">
        <f>+D5*10%</f>
        <v>15651.810375000001</v>
      </c>
      <c r="G5" s="124">
        <f>ROUND(D5+F5,-2)</f>
        <v>172200</v>
      </c>
      <c r="H5" s="124"/>
      <c r="I5" s="126">
        <v>27466.75</v>
      </c>
      <c r="J5" s="129">
        <v>200000</v>
      </c>
      <c r="K5" s="46" t="s">
        <v>227</v>
      </c>
    </row>
    <row r="6" spans="1:13">
      <c r="A6" s="125" t="s">
        <v>233</v>
      </c>
      <c r="B6" s="125"/>
      <c r="C6" s="98" t="s">
        <v>161</v>
      </c>
      <c r="D6" s="125">
        <f>112069.16+(I5/8)+(J5/8)</f>
        <v>140502.50375</v>
      </c>
      <c r="E6" s="125"/>
      <c r="F6" s="98">
        <f>+D6*10%</f>
        <v>14050.250375000001</v>
      </c>
      <c r="G6" s="125">
        <f t="shared" ref="G6:G12" si="0">ROUND(D6+F6,-2)</f>
        <v>154600</v>
      </c>
      <c r="H6" s="125"/>
      <c r="I6" s="127"/>
      <c r="J6" s="130"/>
      <c r="K6" s="75" t="s">
        <v>257</v>
      </c>
    </row>
    <row r="7" spans="1:13">
      <c r="A7" s="125" t="s">
        <v>234</v>
      </c>
      <c r="B7" s="125"/>
      <c r="C7" s="98" t="s">
        <v>161</v>
      </c>
      <c r="D7" s="125">
        <f>100057.46+(I5/8)+(J5/8)</f>
        <v>128490.80375000001</v>
      </c>
      <c r="E7" s="125"/>
      <c r="F7" s="97">
        <f t="shared" ref="F7:F13" si="1">+D7*20%</f>
        <v>25698.160750000003</v>
      </c>
      <c r="G7" s="125">
        <f t="shared" si="0"/>
        <v>154200</v>
      </c>
      <c r="H7" s="125"/>
      <c r="I7" s="127"/>
      <c r="J7" s="130"/>
      <c r="K7" s="75" t="s">
        <v>257</v>
      </c>
    </row>
    <row r="8" spans="1:13">
      <c r="A8" s="137" t="s">
        <v>235</v>
      </c>
      <c r="B8" s="125"/>
      <c r="C8" s="98" t="s">
        <v>161</v>
      </c>
      <c r="D8" s="125">
        <f>100057.46+(I5/8)+(J5/8)</f>
        <v>128490.80375000001</v>
      </c>
      <c r="E8" s="125"/>
      <c r="F8" s="97">
        <f t="shared" si="1"/>
        <v>25698.160750000003</v>
      </c>
      <c r="G8" s="125">
        <f t="shared" si="0"/>
        <v>154200</v>
      </c>
      <c r="H8" s="125"/>
      <c r="I8" s="127"/>
      <c r="J8" s="130"/>
      <c r="K8" s="75" t="s">
        <v>257</v>
      </c>
    </row>
    <row r="9" spans="1:13">
      <c r="A9" s="125" t="s">
        <v>236</v>
      </c>
      <c r="B9" s="125"/>
      <c r="C9" s="117" t="s">
        <v>161</v>
      </c>
      <c r="D9" s="125">
        <f>132088.66+(I5/8)+(J5/8)</f>
        <v>160522.00375</v>
      </c>
      <c r="E9" s="125"/>
      <c r="F9" s="117">
        <f t="shared" ref="F9:F11" si="2">+D9*10%</f>
        <v>16052.200375</v>
      </c>
      <c r="G9" s="125">
        <f t="shared" si="0"/>
        <v>176600</v>
      </c>
      <c r="H9" s="125"/>
      <c r="I9" s="127"/>
      <c r="J9" s="130"/>
      <c r="K9" s="75" t="s">
        <v>257</v>
      </c>
    </row>
    <row r="10" spans="1:13">
      <c r="A10" s="125" t="s">
        <v>236</v>
      </c>
      <c r="B10" s="125"/>
      <c r="C10" s="117" t="s">
        <v>161</v>
      </c>
      <c r="D10" s="125">
        <f>132088.66+(I5/8)+(J5/8)</f>
        <v>160522.00375</v>
      </c>
      <c r="E10" s="125"/>
      <c r="F10" s="117">
        <f t="shared" si="2"/>
        <v>16052.200375</v>
      </c>
      <c r="G10" s="125">
        <f t="shared" si="0"/>
        <v>176600</v>
      </c>
      <c r="H10" s="125"/>
      <c r="I10" s="127"/>
      <c r="J10" s="130"/>
      <c r="K10" s="75" t="s">
        <v>257</v>
      </c>
    </row>
    <row r="11" spans="1:13">
      <c r="A11" s="124" t="s">
        <v>237</v>
      </c>
      <c r="B11" s="124"/>
      <c r="C11" s="97" t="s">
        <v>161</v>
      </c>
      <c r="D11" s="124">
        <f>180135.46+(I5/8)+(J5/8)</f>
        <v>208568.80374999999</v>
      </c>
      <c r="E11" s="124"/>
      <c r="F11" s="97">
        <f t="shared" si="2"/>
        <v>20856.880375000001</v>
      </c>
      <c r="G11" s="124">
        <f t="shared" si="0"/>
        <v>229400</v>
      </c>
      <c r="H11" s="124"/>
      <c r="I11" s="127"/>
      <c r="J11" s="130"/>
      <c r="K11" s="46" t="s">
        <v>227</v>
      </c>
    </row>
    <row r="12" spans="1:13" ht="15">
      <c r="A12" s="125" t="s">
        <v>238</v>
      </c>
      <c r="B12" s="136"/>
      <c r="C12" s="100" t="s">
        <v>161</v>
      </c>
      <c r="D12" s="136">
        <f>120076.96+(I5/8)+(J5/8)</f>
        <v>148510.30375000002</v>
      </c>
      <c r="E12" s="136"/>
      <c r="F12" s="97">
        <f t="shared" si="1"/>
        <v>29702.060750000004</v>
      </c>
      <c r="G12" s="136">
        <f t="shared" si="0"/>
        <v>178200</v>
      </c>
      <c r="H12" s="136"/>
      <c r="I12" s="128"/>
      <c r="J12" s="131"/>
      <c r="K12" s="81" t="s">
        <v>257</v>
      </c>
      <c r="L12" s="82"/>
    </row>
    <row r="13" spans="1:13" ht="15">
      <c r="A13" s="125" t="s">
        <v>241</v>
      </c>
      <c r="B13" s="136"/>
      <c r="C13" s="100" t="s">
        <v>242</v>
      </c>
      <c r="D13" s="136">
        <f>182000+($I$13/4)+($J$13/4)</f>
        <v>193806.38</v>
      </c>
      <c r="E13" s="136"/>
      <c r="F13" s="97">
        <f t="shared" si="1"/>
        <v>38761.276000000005</v>
      </c>
      <c r="G13" s="136">
        <f>ROUND(D13+F13,-2)</f>
        <v>232600</v>
      </c>
      <c r="H13" s="136"/>
      <c r="I13" s="132">
        <v>47225.52</v>
      </c>
      <c r="J13" s="134">
        <f>ROUNDUP(B$7*H13, -3)</f>
        <v>0</v>
      </c>
      <c r="K13" s="81" t="s">
        <v>257</v>
      </c>
      <c r="L13" s="82"/>
    </row>
    <row r="14" spans="1:13">
      <c r="A14" s="123" t="s">
        <v>243</v>
      </c>
      <c r="B14" s="123"/>
      <c r="C14" s="101" t="s">
        <v>242</v>
      </c>
      <c r="D14" s="123">
        <f t="shared" ref="D14:D15" si="3">182000+($I$13/4)+($J$13/4)</f>
        <v>193806.38</v>
      </c>
      <c r="E14" s="123"/>
      <c r="F14" s="101">
        <f t="shared" ref="F14:F17" si="4">+D14*10%</f>
        <v>19380.638000000003</v>
      </c>
      <c r="G14" s="123">
        <f t="shared" ref="G14:G15" si="5">ROUND(D14+F14,-2)</f>
        <v>213200</v>
      </c>
      <c r="H14" s="123"/>
      <c r="I14" s="127"/>
      <c r="J14" s="130"/>
      <c r="K14" s="46" t="s">
        <v>227</v>
      </c>
    </row>
    <row r="15" spans="1:13">
      <c r="A15" s="124" t="s">
        <v>244</v>
      </c>
      <c r="B15" s="124"/>
      <c r="C15" s="97" t="s">
        <v>242</v>
      </c>
      <c r="D15" s="124">
        <f t="shared" si="3"/>
        <v>193806.38</v>
      </c>
      <c r="E15" s="124"/>
      <c r="F15" s="97">
        <f t="shared" si="4"/>
        <v>19380.638000000003</v>
      </c>
      <c r="G15" s="124">
        <f t="shared" si="5"/>
        <v>213200</v>
      </c>
      <c r="H15" s="124"/>
      <c r="I15" s="133"/>
      <c r="J15" s="135"/>
      <c r="K15" s="46" t="s">
        <v>227</v>
      </c>
    </row>
    <row r="16" spans="1:13" ht="15">
      <c r="A16" s="124" t="s">
        <v>261</v>
      </c>
      <c r="B16" s="124"/>
      <c r="C16" s="97" t="s">
        <v>249</v>
      </c>
      <c r="D16" s="124">
        <v>356444.27</v>
      </c>
      <c r="E16" s="124"/>
      <c r="F16" s="97">
        <f>+D16*20%</f>
        <v>71288.854000000007</v>
      </c>
      <c r="G16" s="124">
        <f t="shared" ref="G16:G17" si="6">ROUND(D16+F16,-2)</f>
        <v>427700</v>
      </c>
      <c r="H16" s="124"/>
      <c r="I16" s="74"/>
      <c r="J16" s="38"/>
      <c r="K16" s="46" t="s">
        <v>227</v>
      </c>
    </row>
    <row r="17" spans="1:11" ht="15">
      <c r="A17" s="124" t="s">
        <v>262</v>
      </c>
      <c r="B17" s="124"/>
      <c r="C17" s="97" t="s">
        <v>263</v>
      </c>
      <c r="D17" s="124">
        <v>82000</v>
      </c>
      <c r="E17" s="124"/>
      <c r="F17" s="97">
        <f t="shared" si="4"/>
        <v>8200</v>
      </c>
      <c r="G17" s="124">
        <f t="shared" si="6"/>
        <v>90200</v>
      </c>
      <c r="H17" s="124"/>
      <c r="I17" s="74"/>
      <c r="J17" s="38"/>
      <c r="K17" s="46" t="s">
        <v>227</v>
      </c>
    </row>
    <row r="18" spans="1:11" ht="15">
      <c r="A18" s="124" t="s">
        <v>298</v>
      </c>
      <c r="B18" s="124"/>
      <c r="C18" s="97" t="s">
        <v>190</v>
      </c>
      <c r="D18" s="124">
        <v>40000</v>
      </c>
      <c r="E18" s="124"/>
      <c r="F18" s="97">
        <f>+D18*20%</f>
        <v>8000</v>
      </c>
      <c r="G18" s="124">
        <f t="shared" ref="G18" si="7">ROUND(D18+F18,-2)</f>
        <v>48000</v>
      </c>
      <c r="H18" s="124"/>
      <c r="I18" s="99"/>
      <c r="J18" s="38"/>
      <c r="K18" s="46" t="s">
        <v>227</v>
      </c>
    </row>
    <row r="19" spans="1:11" ht="15">
      <c r="A19" s="138" t="s">
        <v>357</v>
      </c>
      <c r="B19" s="139"/>
      <c r="C19" s="38" t="s">
        <v>20</v>
      </c>
      <c r="D19" s="138">
        <v>100000</v>
      </c>
      <c r="E19" s="139"/>
      <c r="F19" s="116">
        <f>+D19*20%</f>
        <v>20000</v>
      </c>
      <c r="G19" s="124">
        <f>ROUND((D19+F19)/5,-2)</f>
        <v>24000</v>
      </c>
      <c r="H19" s="124"/>
      <c r="I19" s="38"/>
      <c r="J19" s="38"/>
      <c r="K19" s="46" t="s">
        <v>227</v>
      </c>
    </row>
    <row r="20" spans="1:11" ht="15">
      <c r="A20" s="138"/>
      <c r="B20" s="139"/>
      <c r="C20" s="38"/>
      <c r="D20" s="138"/>
      <c r="E20" s="139"/>
      <c r="F20" s="39"/>
      <c r="G20" s="138"/>
      <c r="H20" s="139"/>
      <c r="I20" s="38"/>
      <c r="J20" s="38"/>
      <c r="K20" s="44"/>
    </row>
    <row r="21" spans="1:11" ht="15">
      <c r="A21" s="138"/>
      <c r="B21" s="139"/>
      <c r="C21" s="38"/>
      <c r="D21" s="138"/>
      <c r="E21" s="139"/>
      <c r="F21" s="39"/>
      <c r="G21" s="138"/>
      <c r="H21" s="139"/>
      <c r="I21" s="38"/>
      <c r="J21" s="38"/>
      <c r="K21" s="44"/>
    </row>
    <row r="22" spans="1:11" ht="15">
      <c r="A22" s="138"/>
      <c r="B22" s="139"/>
      <c r="C22" s="38"/>
      <c r="D22" s="138"/>
      <c r="E22" s="139"/>
      <c r="F22" s="39"/>
      <c r="G22" s="138"/>
      <c r="H22" s="139"/>
      <c r="I22" s="38"/>
      <c r="J22" s="38"/>
      <c r="K22" s="44"/>
    </row>
    <row r="23" spans="1:11" ht="15">
      <c r="A23" s="138"/>
      <c r="B23" s="139"/>
      <c r="C23" s="38"/>
      <c r="D23" s="138"/>
      <c r="E23" s="139"/>
      <c r="F23" s="39"/>
      <c r="G23" s="138"/>
      <c r="H23" s="139"/>
      <c r="I23" s="38"/>
      <c r="J23" s="38"/>
      <c r="K23" s="44"/>
    </row>
    <row r="24" spans="1:11" ht="15">
      <c r="A24" s="138"/>
      <c r="B24" s="139"/>
      <c r="C24" s="38"/>
      <c r="D24" s="138"/>
      <c r="E24" s="139"/>
      <c r="F24" s="39"/>
      <c r="G24" s="138"/>
      <c r="H24" s="139"/>
      <c r="I24" s="38"/>
      <c r="J24" s="38"/>
      <c r="K24" s="44"/>
    </row>
    <row r="25" spans="1:11" ht="15">
      <c r="A25" s="138"/>
      <c r="B25" s="139"/>
      <c r="C25" s="38"/>
      <c r="D25" s="138"/>
      <c r="E25" s="139"/>
      <c r="F25" s="39"/>
      <c r="G25" s="138"/>
      <c r="H25" s="139"/>
      <c r="I25" s="38"/>
      <c r="J25" s="38"/>
      <c r="K25" s="44"/>
    </row>
    <row r="26" spans="1:11" ht="15">
      <c r="A26" s="138"/>
      <c r="B26" s="139"/>
      <c r="C26" s="38"/>
      <c r="D26" s="138"/>
      <c r="E26" s="139"/>
      <c r="F26" s="39"/>
      <c r="G26" s="138"/>
      <c r="H26" s="139"/>
      <c r="I26" s="38"/>
      <c r="J26" s="38"/>
      <c r="K26" s="44"/>
    </row>
    <row r="27" spans="1:11" ht="15">
      <c r="A27" s="138"/>
      <c r="B27" s="139"/>
      <c r="C27" s="38"/>
      <c r="D27" s="138"/>
      <c r="E27" s="139"/>
      <c r="F27" s="39"/>
      <c r="G27" s="138"/>
      <c r="H27" s="139"/>
      <c r="I27" s="38"/>
      <c r="J27" s="38"/>
      <c r="K27" s="44"/>
    </row>
    <row r="28" spans="1:11" ht="15">
      <c r="A28" s="138"/>
      <c r="B28" s="139"/>
      <c r="C28" s="38"/>
      <c r="D28" s="138"/>
      <c r="E28" s="139"/>
      <c r="F28" s="39"/>
      <c r="G28" s="138"/>
      <c r="H28" s="139"/>
      <c r="I28" s="38"/>
      <c r="J28" s="38"/>
      <c r="K28" s="44"/>
    </row>
    <row r="29" spans="1:11" ht="15">
      <c r="A29" s="138"/>
      <c r="B29" s="139"/>
      <c r="C29" s="38"/>
      <c r="D29" s="138"/>
      <c r="E29" s="139"/>
      <c r="F29" s="39"/>
      <c r="G29" s="138"/>
      <c r="H29" s="139"/>
      <c r="I29" s="38"/>
      <c r="J29" s="38"/>
      <c r="K29" s="44"/>
    </row>
    <row r="30" spans="1:11" ht="15">
      <c r="A30" s="138"/>
      <c r="B30" s="139"/>
      <c r="C30" s="38"/>
      <c r="D30" s="138"/>
      <c r="E30" s="139"/>
      <c r="F30" s="39"/>
      <c r="G30" s="138"/>
      <c r="H30" s="139"/>
      <c r="I30" s="38"/>
      <c r="J30" s="38"/>
      <c r="K30" s="44"/>
    </row>
    <row r="31" spans="1:11" ht="15">
      <c r="A31" s="140"/>
      <c r="B31" s="140"/>
      <c r="D31" s="140"/>
      <c r="E31" s="140"/>
    </row>
    <row r="32" spans="1:11" ht="15">
      <c r="A32" s="140"/>
      <c r="B32" s="140"/>
      <c r="D32" s="140"/>
      <c r="E32" s="140"/>
    </row>
    <row r="33" spans="1:5" ht="15">
      <c r="A33" s="140"/>
      <c r="B33" s="140"/>
      <c r="D33" s="140"/>
      <c r="E33" s="140"/>
    </row>
    <row r="34" spans="1:5" ht="15">
      <c r="A34" s="140"/>
      <c r="B34" s="140"/>
      <c r="D34" s="140"/>
      <c r="E34" s="140"/>
    </row>
    <row r="35" spans="1:5" ht="15">
      <c r="A35" s="140"/>
      <c r="B35" s="140"/>
      <c r="D35" s="140"/>
      <c r="E35" s="140"/>
    </row>
    <row r="36" spans="1:5" ht="15">
      <c r="A36" s="140"/>
      <c r="B36" s="140"/>
    </row>
    <row r="37" spans="1:5" ht="15">
      <c r="A37" s="140"/>
      <c r="B37" s="140"/>
    </row>
    <row r="38" spans="1:5" ht="15">
      <c r="A38" s="140"/>
      <c r="B38" s="140"/>
    </row>
    <row r="39" spans="1:5">
      <c r="A39" s="140"/>
      <c r="B39" s="140"/>
    </row>
    <row r="40" spans="1:5">
      <c r="A40" s="140"/>
      <c r="B40" s="140"/>
    </row>
    <row r="41" spans="1:5">
      <c r="A41" s="140"/>
      <c r="B41" s="140"/>
    </row>
    <row r="42" spans="1:5">
      <c r="A42" s="140"/>
      <c r="B42" s="140"/>
    </row>
    <row r="43" spans="1:5">
      <c r="A43" s="140"/>
      <c r="B43" s="140"/>
    </row>
    <row r="44" spans="1:5">
      <c r="A44" s="140"/>
      <c r="B44" s="140"/>
    </row>
    <row r="45" spans="1:5">
      <c r="A45" s="140"/>
      <c r="B45" s="140"/>
    </row>
    <row r="46" spans="1:5">
      <c r="A46" s="140"/>
      <c r="B46" s="140"/>
    </row>
  </sheetData>
  <autoFilter ref="K4:K46" xr:uid="{CC54A3DE-B51D-446A-82E9-DE7196DECD39}"/>
  <mergeCells count="107">
    <mergeCell ref="A9:B9"/>
    <mergeCell ref="D9:E9"/>
    <mergeCell ref="G9:H9"/>
    <mergeCell ref="G21:H21"/>
    <mergeCell ref="G22:H22"/>
    <mergeCell ref="G23:H23"/>
    <mergeCell ref="G24:H24"/>
    <mergeCell ref="G25:H25"/>
    <mergeCell ref="G26:H26"/>
    <mergeCell ref="G16:H16"/>
    <mergeCell ref="G17:H17"/>
    <mergeCell ref="G18:H18"/>
    <mergeCell ref="G19:H19"/>
    <mergeCell ref="G20:H20"/>
    <mergeCell ref="G11:H11"/>
    <mergeCell ref="D10:E10"/>
    <mergeCell ref="D11:E11"/>
    <mergeCell ref="D12:E12"/>
    <mergeCell ref="G12:H12"/>
    <mergeCell ref="G15:H15"/>
    <mergeCell ref="D13:E13"/>
    <mergeCell ref="D14:E14"/>
    <mergeCell ref="D18:E18"/>
    <mergeCell ref="D19:E19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25:E25"/>
    <mergeCell ref="D17:E17"/>
    <mergeCell ref="D16:E16"/>
    <mergeCell ref="A43:B43"/>
    <mergeCell ref="A44:B44"/>
    <mergeCell ref="A45:B45"/>
    <mergeCell ref="A46:B46"/>
    <mergeCell ref="D5:E5"/>
    <mergeCell ref="D6:E6"/>
    <mergeCell ref="D7:E7"/>
    <mergeCell ref="D8:E8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G29:H29"/>
    <mergeCell ref="A42:B42"/>
    <mergeCell ref="D34:E34"/>
    <mergeCell ref="D35:E35"/>
    <mergeCell ref="D30:E30"/>
    <mergeCell ref="D31:E31"/>
    <mergeCell ref="G30:H30"/>
    <mergeCell ref="G27:H27"/>
    <mergeCell ref="G28:H28"/>
    <mergeCell ref="D32:E32"/>
    <mergeCell ref="D33:E33"/>
    <mergeCell ref="A29:B29"/>
    <mergeCell ref="A12:B12"/>
    <mergeCell ref="A13:B13"/>
    <mergeCell ref="A17:B17"/>
    <mergeCell ref="A16:B16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:K3"/>
    <mergeCell ref="A4:B4"/>
    <mergeCell ref="D4:E4"/>
    <mergeCell ref="G4:H4"/>
    <mergeCell ref="A14:B14"/>
    <mergeCell ref="A15:B15"/>
    <mergeCell ref="G5:H5"/>
    <mergeCell ref="G6:H6"/>
    <mergeCell ref="G7:H7"/>
    <mergeCell ref="G8:H8"/>
    <mergeCell ref="G10:H10"/>
    <mergeCell ref="D15:E15"/>
    <mergeCell ref="I5:I12"/>
    <mergeCell ref="J5:J12"/>
    <mergeCell ref="I13:I15"/>
    <mergeCell ref="J13:J15"/>
    <mergeCell ref="G13:H13"/>
    <mergeCell ref="G14:H14"/>
    <mergeCell ref="A5:B5"/>
    <mergeCell ref="A6:B6"/>
    <mergeCell ref="A7:B7"/>
    <mergeCell ref="A8:B8"/>
    <mergeCell ref="A10:B10"/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E240-B287-4FED-9764-3AB3F0137844}">
  <sheetPr>
    <tabColor rgb="FFFF0000"/>
  </sheetPr>
  <dimension ref="A1:Q21"/>
  <sheetViews>
    <sheetView showGridLines="0" workbookViewId="0">
      <selection activeCell="A4" sqref="A4:XFD4"/>
    </sheetView>
  </sheetViews>
  <sheetFormatPr baseColWidth="10" defaultColWidth="11.375" defaultRowHeight="14.25"/>
  <cols>
    <col min="1" max="1" width="19.125" style="41" bestFit="1" customWidth="1"/>
    <col min="2" max="2" width="29" style="41" bestFit="1" customWidth="1"/>
    <col min="3" max="3" width="21.125" style="41" bestFit="1" customWidth="1"/>
    <col min="4" max="4" width="9" style="41" bestFit="1" customWidth="1"/>
    <col min="5" max="5" width="16.875" style="48" bestFit="1" customWidth="1"/>
    <col min="6" max="6" width="14.25" style="41" bestFit="1" customWidth="1"/>
    <col min="7" max="8" width="12.625" style="41" bestFit="1" customWidth="1"/>
    <col min="9" max="9" width="11.25" style="41" bestFit="1" customWidth="1"/>
    <col min="10" max="10" width="12.625" style="41" bestFit="1" customWidth="1"/>
    <col min="11" max="11" width="19.25" style="41" bestFit="1" customWidth="1"/>
    <col min="12" max="12" width="18" style="41" bestFit="1" customWidth="1"/>
    <col min="13" max="13" width="16.875" style="41" bestFit="1" customWidth="1"/>
    <col min="14" max="14" width="13.625" style="41" bestFit="1" customWidth="1"/>
    <col min="15" max="15" width="11.625" style="77" bestFit="1" customWidth="1"/>
    <col min="16" max="16" width="26.5" style="77" bestFit="1" customWidth="1"/>
    <col min="17" max="17" width="8.25" style="30" bestFit="1" customWidth="1"/>
    <col min="18" max="18" width="6.25" style="30" bestFit="1" customWidth="1"/>
    <col min="19" max="16384" width="11.375" style="30"/>
  </cols>
  <sheetData>
    <row r="1" spans="1:17" s="32" customFormat="1">
      <c r="A1" s="42" t="str" cm="1">
        <f t="array" ref="A1:Q2">_xlfn._xlws.FILTER(VENTAS!$B$1:$R$1035,VENTAS!$K$1:$K$1035&gt;0,0)</f>
        <v>Cliente</v>
      </c>
      <c r="B1" s="42" t="str">
        <v>Referencia</v>
      </c>
      <c r="C1" s="42" t="str">
        <v>TRACKING</v>
      </c>
      <c r="D1" s="42" t="str">
        <v>Talla</v>
      </c>
      <c r="E1" s="47" t="str">
        <v>Valor ORIGINAL</v>
      </c>
      <c r="F1" s="42" t="str">
        <v>Precio total</v>
      </c>
      <c r="G1" s="42" t="str">
        <v>Anticipo</v>
      </c>
      <c r="H1" s="42" t="str">
        <v>Abono 1</v>
      </c>
      <c r="I1" s="42" t="str">
        <v>Abono 2</v>
      </c>
      <c r="J1" s="42" t="str">
        <v>Restante</v>
      </c>
      <c r="K1" s="42" t="str">
        <v>Pagado nosotros</v>
      </c>
      <c r="L1" s="42" t="str">
        <v>EN CASILLERO</v>
      </c>
      <c r="M1" s="42" t="str">
        <v>Fecha entrega</v>
      </c>
      <c r="N1" s="42" t="str">
        <v>GANANCIA</v>
      </c>
      <c r="O1" s="76" t="str">
        <v>CELULAR</v>
      </c>
      <c r="P1" s="76" t="str">
        <v>DIRECCION DE ENTREGA</v>
      </c>
      <c r="Q1" s="32">
        <v>0</v>
      </c>
    </row>
    <row r="2" spans="1:17">
      <c r="A2" s="41" t="str">
        <v>Julian Londoño</v>
      </c>
      <c r="B2" s="41" t="str">
        <v>Nike AF1</v>
      </c>
      <c r="C2" s="41" t="str">
        <v>1ZYW72270340219533</v>
      </c>
      <c r="D2" s="41" t="str">
        <v>8US H</v>
      </c>
      <c r="E2" s="48">
        <v>342000</v>
      </c>
      <c r="F2" s="41">
        <v>342000</v>
      </c>
      <c r="G2" s="41">
        <v>0</v>
      </c>
      <c r="H2" s="41">
        <v>0</v>
      </c>
      <c r="I2" s="41">
        <v>0</v>
      </c>
      <c r="J2" s="41">
        <v>342000</v>
      </c>
      <c r="K2" s="41">
        <v>342000</v>
      </c>
      <c r="L2" s="41" t="str">
        <v>ENTREGADO</v>
      </c>
      <c r="M2" s="41">
        <v>46068</v>
      </c>
      <c r="N2" s="41">
        <v>0</v>
      </c>
      <c r="O2" s="77">
        <v>0</v>
      </c>
      <c r="P2" s="77">
        <v>0</v>
      </c>
      <c r="Q2" s="30">
        <v>0</v>
      </c>
    </row>
    <row r="21" spans="10:10">
      <c r="J21" s="41" t="s">
        <v>248</v>
      </c>
    </row>
  </sheetData>
  <autoFilter ref="A1:Q15" xr:uid="{F295E240-B287-4FED-9764-3AB3F013784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4D95-B9DB-44E2-BD33-741762ED2A37}">
  <dimension ref="A1:Q133"/>
  <sheetViews>
    <sheetView workbookViewId="0">
      <selection activeCell="J5" sqref="J5"/>
    </sheetView>
  </sheetViews>
  <sheetFormatPr baseColWidth="10" defaultColWidth="11" defaultRowHeight="14.25"/>
  <cols>
    <col min="1" max="1" width="15.25" style="49" bestFit="1" customWidth="1"/>
    <col min="2" max="2" width="14.375" style="49" bestFit="1" customWidth="1"/>
    <col min="3" max="3" width="33.125" style="49" bestFit="1" customWidth="1"/>
    <col min="4" max="4" width="20" style="87" bestFit="1" customWidth="1"/>
    <col min="5" max="5" width="10.375" style="49" bestFit="1" customWidth="1"/>
    <col min="6" max="6" width="16.875" style="71" bestFit="1" customWidth="1"/>
    <col min="7" max="7" width="13" style="71" bestFit="1" customWidth="1"/>
    <col min="8" max="8" width="10.625" style="71" bestFit="1" customWidth="1"/>
    <col min="9" max="9" width="11" style="71" bestFit="1" customWidth="1"/>
    <col min="10" max="10" width="10" style="71" bestFit="1" customWidth="1"/>
    <col min="11" max="11" width="10.875" style="71" bestFit="1" customWidth="1"/>
    <col min="12" max="12" width="18" style="71" bestFit="1" customWidth="1"/>
    <col min="13" max="13" width="16.625" style="49" bestFit="1" customWidth="1"/>
    <col min="14" max="14" width="9.875" style="49" bestFit="1" customWidth="1"/>
    <col min="15" max="15" width="12.375" style="49" bestFit="1" customWidth="1"/>
    <col min="16" max="16" width="11.625" style="49" bestFit="1" customWidth="1"/>
    <col min="17" max="17" width="35.25" style="49" bestFit="1" customWidth="1"/>
    <col min="18" max="16384" width="11" style="49"/>
  </cols>
  <sheetData>
    <row r="1" spans="1:17" ht="27.75">
      <c r="A1" s="50" t="s">
        <v>7</v>
      </c>
      <c r="B1" s="50" t="s">
        <v>4</v>
      </c>
      <c r="C1" s="50" t="s">
        <v>21</v>
      </c>
      <c r="D1" s="52" t="s">
        <v>58</v>
      </c>
      <c r="E1" s="50" t="s">
        <v>25</v>
      </c>
      <c r="F1" s="67" t="s">
        <v>36</v>
      </c>
      <c r="G1" s="67" t="s">
        <v>5</v>
      </c>
      <c r="H1" s="67" t="s">
        <v>8</v>
      </c>
      <c r="I1" s="67" t="s">
        <v>9</v>
      </c>
      <c r="J1" s="67" t="s">
        <v>10</v>
      </c>
      <c r="K1" s="68" t="s">
        <v>13</v>
      </c>
      <c r="L1" s="67" t="s">
        <v>12</v>
      </c>
      <c r="M1" s="53" t="s">
        <v>51</v>
      </c>
      <c r="N1" s="50" t="s">
        <v>11</v>
      </c>
      <c r="O1" s="53" t="s">
        <v>37</v>
      </c>
      <c r="P1" s="50" t="s">
        <v>181</v>
      </c>
      <c r="Q1" s="50" t="s">
        <v>182</v>
      </c>
    </row>
    <row r="2" spans="1:17" ht="15">
      <c r="A2" s="54">
        <v>46087</v>
      </c>
      <c r="B2" s="51" t="s">
        <v>41</v>
      </c>
      <c r="C2" s="51" t="s">
        <v>359</v>
      </c>
      <c r="D2" s="84" t="s">
        <v>149</v>
      </c>
      <c r="E2" s="51" t="s">
        <v>217</v>
      </c>
      <c r="F2" s="69">
        <v>328526.84000000003</v>
      </c>
      <c r="G2" s="67">
        <v>470000</v>
      </c>
      <c r="H2" s="69">
        <v>470000</v>
      </c>
      <c r="I2" s="69">
        <v>0</v>
      </c>
      <c r="J2" s="69">
        <v>0</v>
      </c>
      <c r="K2" s="70">
        <f t="shared" ref="K2" si="0">G2-SUM(H2,I2,J2)</f>
        <v>0</v>
      </c>
      <c r="L2" s="67">
        <f t="shared" ref="L2" si="1">F2-H2</f>
        <v>-141473.15999999997</v>
      </c>
      <c r="M2" s="56" t="s">
        <v>227</v>
      </c>
      <c r="N2" s="54" t="s">
        <v>270</v>
      </c>
      <c r="O2" s="55">
        <f t="shared" ref="O2" si="2">G2-F2</f>
        <v>141473.15999999997</v>
      </c>
    </row>
    <row r="3" spans="1:17" ht="15">
      <c r="A3" s="54">
        <v>46087</v>
      </c>
      <c r="B3" s="51" t="s">
        <v>41</v>
      </c>
      <c r="C3" s="51" t="s">
        <v>235</v>
      </c>
      <c r="D3" s="84" t="s">
        <v>149</v>
      </c>
      <c r="E3" s="51" t="s">
        <v>161</v>
      </c>
      <c r="F3" s="69">
        <v>178250</v>
      </c>
      <c r="G3" s="67">
        <v>200000</v>
      </c>
      <c r="H3" s="69">
        <v>200000</v>
      </c>
      <c r="I3" s="69">
        <v>0</v>
      </c>
      <c r="J3" s="69">
        <v>0</v>
      </c>
      <c r="K3" s="70">
        <f t="shared" ref="K3" si="3">G3-SUM(H3,I3,J3)</f>
        <v>0</v>
      </c>
      <c r="L3" s="67">
        <f t="shared" ref="L3" si="4">F3-H3</f>
        <v>-21750</v>
      </c>
      <c r="M3" s="56" t="s">
        <v>358</v>
      </c>
      <c r="N3" s="54" t="s">
        <v>270</v>
      </c>
      <c r="O3" s="55">
        <f t="shared" ref="O3" si="5">G3-F3</f>
        <v>21750</v>
      </c>
    </row>
    <row r="4" spans="1:17" ht="15">
      <c r="A4" s="105">
        <v>46057</v>
      </c>
      <c r="B4" s="106" t="s">
        <v>282</v>
      </c>
      <c r="C4" s="106" t="s">
        <v>355</v>
      </c>
      <c r="D4" s="89" t="s">
        <v>270</v>
      </c>
      <c r="E4" s="106" t="s">
        <v>20</v>
      </c>
      <c r="F4" s="107">
        <v>180000</v>
      </c>
      <c r="G4" s="108">
        <v>180000</v>
      </c>
      <c r="H4" s="107">
        <v>180000</v>
      </c>
      <c r="I4" s="107">
        <v>0</v>
      </c>
      <c r="J4" s="107">
        <v>0</v>
      </c>
      <c r="K4" s="109">
        <f>G4-SUM(H4,I4,J4)</f>
        <v>0</v>
      </c>
      <c r="L4" s="108">
        <f>F4-H4</f>
        <v>0</v>
      </c>
      <c r="M4" s="110" t="s">
        <v>88</v>
      </c>
      <c r="N4" s="105">
        <v>46090</v>
      </c>
      <c r="O4" s="111">
        <f>G4-F4</f>
        <v>0</v>
      </c>
      <c r="P4" s="112"/>
      <c r="Q4" s="112"/>
    </row>
    <row r="5" spans="1:17" ht="15">
      <c r="A5" s="54">
        <v>46051</v>
      </c>
      <c r="B5" s="51" t="s">
        <v>206</v>
      </c>
      <c r="C5" s="51" t="s">
        <v>351</v>
      </c>
      <c r="D5" s="89" t="s">
        <v>353</v>
      </c>
      <c r="E5" s="51" t="s">
        <v>156</v>
      </c>
      <c r="F5" s="69">
        <v>223477.53</v>
      </c>
      <c r="G5" s="67">
        <v>340000</v>
      </c>
      <c r="H5" s="69">
        <v>100000</v>
      </c>
      <c r="I5" s="69">
        <v>167500</v>
      </c>
      <c r="J5" s="69">
        <v>72500</v>
      </c>
      <c r="K5" s="70">
        <f t="shared" ref="K5" si="6">G5-SUM(H5,I5,J5)</f>
        <v>0</v>
      </c>
      <c r="L5" s="67">
        <f t="shared" ref="L5" si="7">F5-H5</f>
        <v>123477.53</v>
      </c>
      <c r="M5" s="56" t="s">
        <v>88</v>
      </c>
      <c r="N5" s="54">
        <v>46068</v>
      </c>
      <c r="O5" s="55">
        <f t="shared" ref="O5" si="8">G5-F5</f>
        <v>116522.47</v>
      </c>
    </row>
    <row r="6" spans="1:17" ht="15">
      <c r="A6" s="54">
        <v>46051</v>
      </c>
      <c r="B6" s="51" t="s">
        <v>282</v>
      </c>
      <c r="C6" s="51" t="s">
        <v>350</v>
      </c>
      <c r="D6" s="89" t="s">
        <v>352</v>
      </c>
      <c r="E6" s="51" t="s">
        <v>67</v>
      </c>
      <c r="F6" s="69">
        <v>342000</v>
      </c>
      <c r="G6" s="67">
        <v>342000</v>
      </c>
      <c r="H6" s="69">
        <v>0</v>
      </c>
      <c r="I6" s="69">
        <v>0</v>
      </c>
      <c r="J6" s="69">
        <v>0</v>
      </c>
      <c r="K6" s="70">
        <f t="shared" ref="K6" si="9">G6-SUM(H6,I6,J6)</f>
        <v>342000</v>
      </c>
      <c r="L6" s="67">
        <f t="shared" ref="L6" si="10">F6-H6</f>
        <v>342000</v>
      </c>
      <c r="M6" s="56" t="s">
        <v>88</v>
      </c>
      <c r="N6" s="115">
        <v>46068</v>
      </c>
      <c r="O6" s="55">
        <f t="shared" ref="O6" si="11">G6-F6</f>
        <v>0</v>
      </c>
    </row>
    <row r="7" spans="1:17" ht="27.75">
      <c r="A7" s="54">
        <v>46045</v>
      </c>
      <c r="B7" s="51" t="s">
        <v>348</v>
      </c>
      <c r="C7" s="51" t="s">
        <v>349</v>
      </c>
      <c r="D7" s="89" t="s">
        <v>354</v>
      </c>
      <c r="E7" s="51" t="s">
        <v>156</v>
      </c>
      <c r="F7" s="69">
        <v>864000</v>
      </c>
      <c r="G7" s="67">
        <v>1140000</v>
      </c>
      <c r="H7" s="69">
        <v>570000</v>
      </c>
      <c r="I7" s="69">
        <v>570000</v>
      </c>
      <c r="J7" s="69">
        <v>0</v>
      </c>
      <c r="K7" s="70">
        <f t="shared" ref="K7" si="12">G7-SUM(H7,I7,J7)</f>
        <v>0</v>
      </c>
      <c r="L7" s="67">
        <f t="shared" ref="L7" si="13">F7-H7</f>
        <v>294000</v>
      </c>
      <c r="M7" s="56" t="s">
        <v>88</v>
      </c>
      <c r="N7" s="115">
        <v>46068</v>
      </c>
      <c r="O7" s="55">
        <f t="shared" ref="O7" si="14">G7-F7</f>
        <v>276000</v>
      </c>
    </row>
    <row r="8" spans="1:17" ht="15">
      <c r="A8" s="54">
        <v>46034</v>
      </c>
      <c r="B8" s="51" t="s">
        <v>344</v>
      </c>
      <c r="C8" s="51" t="s">
        <v>345</v>
      </c>
      <c r="D8" s="89" t="s">
        <v>346</v>
      </c>
      <c r="E8" s="51" t="s">
        <v>105</v>
      </c>
      <c r="F8" s="69">
        <v>310447</v>
      </c>
      <c r="G8" s="67">
        <v>495000</v>
      </c>
      <c r="H8" s="69">
        <v>250000</v>
      </c>
      <c r="I8" s="69">
        <v>245000</v>
      </c>
      <c r="J8" s="69">
        <v>0</v>
      </c>
      <c r="K8" s="70">
        <f t="shared" ref="K8" si="15">G8-SUM(H8,I8,J8)</f>
        <v>0</v>
      </c>
      <c r="L8" s="67">
        <f t="shared" ref="L8" si="16">F8-H8</f>
        <v>60447</v>
      </c>
      <c r="M8" s="56" t="s">
        <v>88</v>
      </c>
      <c r="N8" s="54">
        <v>46053</v>
      </c>
      <c r="O8" s="55">
        <f t="shared" ref="O8" si="17">G8-F8</f>
        <v>184553</v>
      </c>
    </row>
    <row r="9" spans="1:17" ht="15">
      <c r="A9" s="54">
        <v>46034</v>
      </c>
      <c r="B9" s="51" t="s">
        <v>315</v>
      </c>
      <c r="C9" s="51" t="s">
        <v>316</v>
      </c>
      <c r="D9" s="93" t="s">
        <v>347</v>
      </c>
      <c r="E9" s="51" t="s">
        <v>91</v>
      </c>
      <c r="F9" s="69">
        <v>377842.2</v>
      </c>
      <c r="G9" s="67">
        <v>530000</v>
      </c>
      <c r="H9" s="69">
        <v>150000</v>
      </c>
      <c r="I9" s="69">
        <v>200000</v>
      </c>
      <c r="J9" s="69">
        <v>180000</v>
      </c>
      <c r="K9" s="70">
        <f t="shared" ref="K9" si="18">G9-SUM(H9,I9,J9)</f>
        <v>0</v>
      </c>
      <c r="L9" s="67">
        <f t="shared" ref="L9" si="19">F9-H9</f>
        <v>227842.2</v>
      </c>
      <c r="M9" s="56" t="s">
        <v>88</v>
      </c>
      <c r="N9" s="54">
        <v>46023</v>
      </c>
      <c r="O9" s="55">
        <f t="shared" ref="O9" si="20">G9-F9</f>
        <v>152157.79999999999</v>
      </c>
    </row>
    <row r="10" spans="1:17" ht="37.5" customHeight="1">
      <c r="A10" s="54">
        <v>46028</v>
      </c>
      <c r="B10" s="51" t="s">
        <v>283</v>
      </c>
      <c r="C10" s="51" t="s">
        <v>343</v>
      </c>
      <c r="D10" s="89" t="s">
        <v>270</v>
      </c>
      <c r="E10" s="51" t="s">
        <v>190</v>
      </c>
      <c r="F10" s="69">
        <v>384875</v>
      </c>
      <c r="G10" s="67">
        <v>490000</v>
      </c>
      <c r="H10" s="69">
        <v>245000</v>
      </c>
      <c r="I10" s="69">
        <v>245000</v>
      </c>
      <c r="J10" s="69">
        <v>0</v>
      </c>
      <c r="K10" s="70">
        <f t="shared" ref="K10:K12" si="21">G10-SUM(H10,I10,J10)</f>
        <v>0</v>
      </c>
      <c r="L10" s="67">
        <f t="shared" ref="L10" si="22">F10-H10</f>
        <v>139875</v>
      </c>
      <c r="M10" s="56" t="s">
        <v>88</v>
      </c>
      <c r="N10" s="54">
        <v>46066</v>
      </c>
      <c r="O10" s="55">
        <f t="shared" ref="O10" si="23">G10-F10</f>
        <v>105125</v>
      </c>
    </row>
    <row r="11" spans="1:17" ht="15">
      <c r="A11" s="54">
        <v>46064</v>
      </c>
      <c r="B11" s="51" t="s">
        <v>341</v>
      </c>
      <c r="C11" s="51" t="s">
        <v>356</v>
      </c>
      <c r="D11" s="114" t="s">
        <v>270</v>
      </c>
      <c r="E11" s="51" t="s">
        <v>101</v>
      </c>
      <c r="F11" s="69">
        <v>418300</v>
      </c>
      <c r="G11" s="67">
        <v>580000</v>
      </c>
      <c r="H11" s="69">
        <v>200000</v>
      </c>
      <c r="I11" s="69">
        <f>100000</f>
        <v>100000</v>
      </c>
      <c r="J11" s="69">
        <f>210000+70000</f>
        <v>280000</v>
      </c>
      <c r="K11" s="70">
        <f t="shared" ref="K11" si="24">G11-SUM(H11,I11,J11)</f>
        <v>0</v>
      </c>
      <c r="L11" s="67">
        <f t="shared" ref="L11" si="25">F11-H11</f>
        <v>218300</v>
      </c>
      <c r="M11" s="56" t="s">
        <v>88</v>
      </c>
      <c r="N11" s="54">
        <v>46101</v>
      </c>
      <c r="O11" s="55">
        <f t="shared" ref="O11" si="26">G11-F11</f>
        <v>161700</v>
      </c>
    </row>
    <row r="12" spans="1:17" ht="27.75">
      <c r="A12" s="54">
        <v>46002</v>
      </c>
      <c r="B12" s="51" t="s">
        <v>69</v>
      </c>
      <c r="C12" s="51" t="s">
        <v>336</v>
      </c>
      <c r="D12" s="89" t="s">
        <v>340</v>
      </c>
      <c r="E12" s="51" t="s">
        <v>337</v>
      </c>
      <c r="F12" s="69">
        <v>867488.64</v>
      </c>
      <c r="G12" s="67">
        <v>1050000</v>
      </c>
      <c r="H12" s="69">
        <v>400000</v>
      </c>
      <c r="I12" s="69">
        <v>650000</v>
      </c>
      <c r="J12" s="69">
        <v>0</v>
      </c>
      <c r="K12" s="70">
        <f t="shared" si="21"/>
        <v>0</v>
      </c>
      <c r="L12" s="67">
        <f t="shared" ref="L12:L13" si="27">F12-H12</f>
        <v>467488.64</v>
      </c>
      <c r="M12" s="56" t="s">
        <v>88</v>
      </c>
      <c r="N12" s="54">
        <v>46015</v>
      </c>
      <c r="O12" s="55">
        <f t="shared" ref="O12:O13" si="28">G12-F12</f>
        <v>182511.35999999999</v>
      </c>
    </row>
    <row r="13" spans="1:17" ht="27.75">
      <c r="A13" s="54">
        <v>45998</v>
      </c>
      <c r="B13" s="51" t="s">
        <v>69</v>
      </c>
      <c r="C13" s="51" t="s">
        <v>339</v>
      </c>
      <c r="D13" s="89" t="s">
        <v>270</v>
      </c>
      <c r="E13" s="51" t="s">
        <v>20</v>
      </c>
      <c r="F13" s="69">
        <v>385544.15</v>
      </c>
      <c r="G13" s="67">
        <v>430000</v>
      </c>
      <c r="H13" s="69">
        <v>100000</v>
      </c>
      <c r="I13" s="69">
        <v>330000</v>
      </c>
      <c r="J13" s="69">
        <v>0</v>
      </c>
      <c r="K13" s="70">
        <f t="shared" ref="K13" si="29">G13-SUM(H13,I13,J13)</f>
        <v>0</v>
      </c>
      <c r="L13" s="67">
        <f t="shared" si="27"/>
        <v>285544.15000000002</v>
      </c>
      <c r="M13" s="56" t="s">
        <v>88</v>
      </c>
      <c r="N13" s="54">
        <v>46015</v>
      </c>
      <c r="O13" s="55">
        <f t="shared" si="28"/>
        <v>44455.849999999977</v>
      </c>
    </row>
    <row r="14" spans="1:17" ht="27.75">
      <c r="A14" s="54">
        <v>45996</v>
      </c>
      <c r="B14" s="51" t="s">
        <v>69</v>
      </c>
      <c r="C14" s="51" t="s">
        <v>330</v>
      </c>
      <c r="D14" s="89" t="s">
        <v>270</v>
      </c>
      <c r="E14" s="51" t="s">
        <v>329</v>
      </c>
      <c r="F14" s="69">
        <v>187941.97</v>
      </c>
      <c r="G14" s="67">
        <v>340000</v>
      </c>
      <c r="H14" s="69">
        <v>170000</v>
      </c>
      <c r="I14" s="69">
        <v>170000</v>
      </c>
      <c r="J14" s="69">
        <v>0</v>
      </c>
      <c r="K14" s="70">
        <f t="shared" ref="K14" si="30">G14-SUM(H14,I14,J14)</f>
        <v>0</v>
      </c>
      <c r="L14" s="67">
        <f t="shared" ref="L14" si="31">F14-H14</f>
        <v>17941.97</v>
      </c>
      <c r="M14" s="56" t="s">
        <v>88</v>
      </c>
      <c r="N14" s="54">
        <v>46011</v>
      </c>
      <c r="O14" s="55">
        <f t="shared" ref="O14" si="32">G14-F14</f>
        <v>152058.03</v>
      </c>
    </row>
    <row r="15" spans="1:17" ht="27.75">
      <c r="A15" s="54">
        <v>45992</v>
      </c>
      <c r="B15" s="51" t="s">
        <v>318</v>
      </c>
      <c r="C15" s="51" t="s">
        <v>323</v>
      </c>
      <c r="D15" s="92" t="s">
        <v>332</v>
      </c>
      <c r="E15" s="51" t="s">
        <v>242</v>
      </c>
      <c r="F15" s="69">
        <v>405671.55</v>
      </c>
      <c r="G15" s="67">
        <v>560000</v>
      </c>
      <c r="H15" s="69">
        <f>1375500/4</f>
        <v>343875</v>
      </c>
      <c r="I15" s="69">
        <v>216125</v>
      </c>
      <c r="J15" s="69">
        <v>0</v>
      </c>
      <c r="K15" s="70">
        <f t="shared" ref="K15" si="33">G15-SUM(H15,I15,J15)</f>
        <v>0</v>
      </c>
      <c r="L15" s="67">
        <f t="shared" ref="L15" si="34">F15-H15</f>
        <v>61796.549999999988</v>
      </c>
      <c r="M15" s="56" t="s">
        <v>88</v>
      </c>
      <c r="N15" s="54">
        <v>46028</v>
      </c>
      <c r="O15" s="55">
        <f t="shared" ref="O15" si="35">G15-F15</f>
        <v>154328.45000000001</v>
      </c>
    </row>
    <row r="16" spans="1:17" ht="27.75">
      <c r="A16" s="54">
        <v>45992</v>
      </c>
      <c r="B16" s="51" t="s">
        <v>318</v>
      </c>
      <c r="C16" s="51" t="s">
        <v>322</v>
      </c>
      <c r="D16" s="95" t="s">
        <v>332</v>
      </c>
      <c r="E16" s="51" t="s">
        <v>242</v>
      </c>
      <c r="F16" s="69">
        <v>315430.78000000003</v>
      </c>
      <c r="G16" s="67">
        <v>460000</v>
      </c>
      <c r="H16" s="69">
        <f t="shared" ref="H16:H18" si="36">1375500/4</f>
        <v>343875</v>
      </c>
      <c r="I16" s="69">
        <v>116125</v>
      </c>
      <c r="J16" s="69">
        <v>0</v>
      </c>
      <c r="K16" s="70">
        <f t="shared" ref="K16" si="37">G16-SUM(H16,I16,J16)</f>
        <v>0</v>
      </c>
      <c r="L16" s="67">
        <f t="shared" ref="L16" si="38">F16-H16</f>
        <v>-28444.219999999972</v>
      </c>
      <c r="M16" s="56" t="s">
        <v>88</v>
      </c>
      <c r="N16" s="54">
        <v>46028</v>
      </c>
      <c r="O16" s="55">
        <f t="shared" ref="O16" si="39">G16-F16</f>
        <v>144569.21999999997</v>
      </c>
    </row>
    <row r="17" spans="1:17" ht="27.75">
      <c r="A17" s="54">
        <v>45992</v>
      </c>
      <c r="B17" s="51" t="s">
        <v>318</v>
      </c>
      <c r="C17" s="49" t="s">
        <v>320</v>
      </c>
      <c r="D17" s="89" t="s">
        <v>335</v>
      </c>
      <c r="E17" s="51" t="s">
        <v>105</v>
      </c>
      <c r="F17" s="69">
        <v>518277.69</v>
      </c>
      <c r="G17" s="67">
        <v>720000</v>
      </c>
      <c r="H17" s="69">
        <f t="shared" si="36"/>
        <v>343875</v>
      </c>
      <c r="I17" s="69">
        <v>376125</v>
      </c>
      <c r="J17" s="69">
        <v>0</v>
      </c>
      <c r="K17" s="70">
        <f t="shared" ref="K17" si="40">G17-SUM(H17,I17,J17)</f>
        <v>0</v>
      </c>
      <c r="L17" s="67">
        <f t="shared" ref="L17" si="41">F17-H17</f>
        <v>174402.69</v>
      </c>
      <c r="M17" s="56" t="s">
        <v>88</v>
      </c>
      <c r="N17" s="54">
        <v>46015</v>
      </c>
      <c r="O17" s="55">
        <f t="shared" ref="O17" si="42">G17-F17</f>
        <v>201722.31</v>
      </c>
    </row>
    <row r="18" spans="1:17" ht="27.75">
      <c r="A18" s="54">
        <v>45992</v>
      </c>
      <c r="B18" s="51" t="s">
        <v>318</v>
      </c>
      <c r="C18" s="88" t="s">
        <v>319</v>
      </c>
      <c r="D18" s="93" t="s">
        <v>334</v>
      </c>
      <c r="E18" s="51" t="s">
        <v>101</v>
      </c>
      <c r="F18" s="69">
        <v>760481.21</v>
      </c>
      <c r="G18" s="67">
        <v>1035000</v>
      </c>
      <c r="H18" s="69">
        <f t="shared" si="36"/>
        <v>343875</v>
      </c>
      <c r="I18" s="69">
        <v>691125</v>
      </c>
      <c r="J18" s="69">
        <v>0</v>
      </c>
      <c r="K18" s="70">
        <f t="shared" ref="K18" si="43">G18-SUM(H18,I18,J18)</f>
        <v>0</v>
      </c>
      <c r="L18" s="67">
        <f t="shared" ref="L18" si="44">F18-H18</f>
        <v>416606.20999999996</v>
      </c>
      <c r="M18" s="56" t="s">
        <v>88</v>
      </c>
      <c r="N18" s="54">
        <v>46015</v>
      </c>
      <c r="O18" s="55">
        <f t="shared" ref="O18" si="45">G18-F18</f>
        <v>274518.79000000004</v>
      </c>
    </row>
    <row r="19" spans="1:17" ht="15">
      <c r="A19" s="54">
        <v>45990</v>
      </c>
      <c r="B19" s="51" t="s">
        <v>315</v>
      </c>
      <c r="C19" s="51" t="s">
        <v>316</v>
      </c>
      <c r="D19" s="89" t="s">
        <v>333</v>
      </c>
      <c r="E19" s="51" t="s">
        <v>217</v>
      </c>
      <c r="F19" s="69">
        <v>287699.26</v>
      </c>
      <c r="G19" s="67">
        <v>420000</v>
      </c>
      <c r="H19" s="69">
        <v>220000</v>
      </c>
      <c r="I19" s="69">
        <v>200000</v>
      </c>
      <c r="J19" s="69">
        <v>0</v>
      </c>
      <c r="K19" s="70">
        <f t="shared" ref="K19" si="46">G19-SUM(H19,I19,J19)</f>
        <v>0</v>
      </c>
      <c r="L19" s="67">
        <f t="shared" ref="L19" si="47">F19-H19</f>
        <v>67699.260000000009</v>
      </c>
      <c r="M19" s="56" t="s">
        <v>88</v>
      </c>
      <c r="N19" s="54">
        <v>46015</v>
      </c>
      <c r="O19" s="55">
        <f t="shared" ref="O19" si="48">G19-F19</f>
        <v>132300.74</v>
      </c>
    </row>
    <row r="20" spans="1:17" ht="15">
      <c r="A20" s="54">
        <v>45989</v>
      </c>
      <c r="B20" s="51" t="s">
        <v>38</v>
      </c>
      <c r="C20" s="51" t="s">
        <v>310</v>
      </c>
      <c r="D20" s="89" t="s">
        <v>314</v>
      </c>
      <c r="E20" s="51" t="s">
        <v>311</v>
      </c>
      <c r="F20" s="69">
        <v>286793.59999999998</v>
      </c>
      <c r="G20" s="67">
        <v>425000</v>
      </c>
      <c r="H20" s="69">
        <v>212500</v>
      </c>
      <c r="I20" s="69">
        <v>212500</v>
      </c>
      <c r="J20" s="69">
        <v>0</v>
      </c>
      <c r="K20" s="70">
        <f t="shared" ref="K20" si="49">G20-SUM(H20,I20,J20)</f>
        <v>0</v>
      </c>
      <c r="L20" s="67">
        <f t="shared" ref="L20" si="50">F20-H20</f>
        <v>74293.599999999977</v>
      </c>
      <c r="M20" s="56" t="s">
        <v>88</v>
      </c>
      <c r="N20" s="54">
        <v>46015</v>
      </c>
      <c r="O20" s="55">
        <f t="shared" ref="O20" si="51">G20-F20</f>
        <v>138206.40000000002</v>
      </c>
    </row>
    <row r="21" spans="1:17" ht="15">
      <c r="A21" s="54">
        <v>45989</v>
      </c>
      <c r="B21" s="51" t="s">
        <v>280</v>
      </c>
      <c r="C21" s="51" t="s">
        <v>309</v>
      </c>
      <c r="D21" s="89" t="s">
        <v>314</v>
      </c>
      <c r="E21" s="51" t="s">
        <v>105</v>
      </c>
      <c r="F21" s="69">
        <v>509700.15</v>
      </c>
      <c r="G21" s="67">
        <v>755000</v>
      </c>
      <c r="H21" s="69">
        <v>380000</v>
      </c>
      <c r="I21" s="69">
        <v>375000</v>
      </c>
      <c r="J21" s="69">
        <v>0</v>
      </c>
      <c r="K21" s="70">
        <f t="shared" ref="K21" si="52">G21-SUM(H21,I21,J21)</f>
        <v>0</v>
      </c>
      <c r="L21" s="67">
        <f t="shared" ref="L21" si="53">F21-H21</f>
        <v>129700.15000000002</v>
      </c>
      <c r="M21" s="56" t="s">
        <v>88</v>
      </c>
      <c r="N21" s="54">
        <v>46015</v>
      </c>
      <c r="O21" s="55">
        <f t="shared" ref="O21" si="54">G21-F21</f>
        <v>245299.84999999998</v>
      </c>
    </row>
    <row r="22" spans="1:17" ht="27.75">
      <c r="A22" s="54">
        <v>45987</v>
      </c>
      <c r="B22" s="51" t="s">
        <v>281</v>
      </c>
      <c r="C22" s="51" t="s">
        <v>308</v>
      </c>
      <c r="D22" s="84" t="s">
        <v>313</v>
      </c>
      <c r="E22" s="51" t="s">
        <v>105</v>
      </c>
      <c r="F22" s="69">
        <v>486998.17</v>
      </c>
      <c r="G22" s="67">
        <v>650000</v>
      </c>
      <c r="H22" s="69">
        <v>325000</v>
      </c>
      <c r="I22" s="69">
        <v>325000</v>
      </c>
      <c r="J22" s="69">
        <v>0</v>
      </c>
      <c r="K22" s="70">
        <f t="shared" ref="K22" si="55">G22-SUM(H22,I22,J22)</f>
        <v>0</v>
      </c>
      <c r="L22" s="67">
        <f t="shared" ref="L22" si="56">F22-H22</f>
        <v>161998.16999999998</v>
      </c>
      <c r="M22" s="56" t="s">
        <v>88</v>
      </c>
      <c r="N22" s="54">
        <v>46028</v>
      </c>
      <c r="O22" s="55">
        <f t="shared" ref="O22" si="57">G22-F22</f>
        <v>163001.83000000002</v>
      </c>
    </row>
    <row r="23" spans="1:17" ht="15">
      <c r="A23" s="54">
        <v>45984</v>
      </c>
      <c r="B23" s="51" t="s">
        <v>306</v>
      </c>
      <c r="C23" s="51" t="s">
        <v>307</v>
      </c>
      <c r="D23" s="84" t="s">
        <v>327</v>
      </c>
      <c r="E23" s="51" t="s">
        <v>107</v>
      </c>
      <c r="F23" s="69">
        <v>396880.71</v>
      </c>
      <c r="G23" s="67">
        <v>570000</v>
      </c>
      <c r="H23" s="69">
        <v>200000</v>
      </c>
      <c r="I23" s="69">
        <v>370000</v>
      </c>
      <c r="J23" s="69">
        <v>0</v>
      </c>
      <c r="K23" s="70">
        <f t="shared" ref="K23" si="58">G23-SUM(H23,I23,J23)</f>
        <v>0</v>
      </c>
      <c r="L23" s="67">
        <f t="shared" ref="L23" si="59">F23-H23</f>
        <v>196880.71000000002</v>
      </c>
      <c r="M23" s="56" t="s">
        <v>88</v>
      </c>
      <c r="N23" s="54">
        <v>46010</v>
      </c>
      <c r="O23" s="55">
        <f t="shared" ref="O23" si="60">G23-F23</f>
        <v>173119.28999999998</v>
      </c>
    </row>
    <row r="24" spans="1:17" ht="15">
      <c r="A24" s="54">
        <v>45984</v>
      </c>
      <c r="B24" s="51" t="s">
        <v>65</v>
      </c>
      <c r="C24" s="51" t="s">
        <v>305</v>
      </c>
      <c r="D24" s="90" t="s">
        <v>326</v>
      </c>
      <c r="E24" s="51" t="s">
        <v>42</v>
      </c>
      <c r="F24" s="69">
        <v>276671.46999999997</v>
      </c>
      <c r="G24" s="67">
        <v>440000</v>
      </c>
      <c r="H24" s="69">
        <v>100000</v>
      </c>
      <c r="I24" s="69">
        <f>100000+100000+50000</f>
        <v>250000</v>
      </c>
      <c r="J24" s="69">
        <v>90000</v>
      </c>
      <c r="K24" s="70">
        <f t="shared" ref="K24" si="61">G24-SUM(H24,I24,J24)</f>
        <v>0</v>
      </c>
      <c r="L24" s="67">
        <f t="shared" ref="L24" si="62">F24-H24</f>
        <v>176671.46999999997</v>
      </c>
      <c r="M24" s="56" t="s">
        <v>88</v>
      </c>
      <c r="N24" s="54">
        <v>46010</v>
      </c>
      <c r="O24" s="55">
        <f t="shared" ref="O24" si="63">G24-F24</f>
        <v>163328.53000000003</v>
      </c>
    </row>
    <row r="25" spans="1:17" ht="27.75">
      <c r="A25" s="54">
        <v>45981</v>
      </c>
      <c r="B25" s="51" t="s">
        <v>124</v>
      </c>
      <c r="C25" s="51" t="s">
        <v>303</v>
      </c>
      <c r="D25" s="89" t="s">
        <v>317</v>
      </c>
      <c r="E25" s="51" t="s">
        <v>188</v>
      </c>
      <c r="F25" s="69">
        <v>229582.41</v>
      </c>
      <c r="G25" s="67">
        <v>385000</v>
      </c>
      <c r="H25" s="69">
        <v>192500</v>
      </c>
      <c r="I25" s="69">
        <v>192500</v>
      </c>
      <c r="J25" s="69">
        <v>0</v>
      </c>
      <c r="K25" s="70">
        <f t="shared" ref="K25" si="64">G25-SUM(H25,I25,J25)</f>
        <v>0</v>
      </c>
      <c r="L25" s="67">
        <f t="shared" ref="L25" si="65">F25-H25</f>
        <v>37082.410000000003</v>
      </c>
      <c r="M25" s="56" t="s">
        <v>88</v>
      </c>
      <c r="N25" s="54">
        <v>46015</v>
      </c>
      <c r="O25" s="55">
        <f t="shared" ref="O25" si="66">G25-F25</f>
        <v>155417.59</v>
      </c>
    </row>
    <row r="26" spans="1:17" ht="15">
      <c r="A26" s="54">
        <v>45981</v>
      </c>
      <c r="B26" s="51" t="s">
        <v>111</v>
      </c>
      <c r="C26" s="51" t="s">
        <v>302</v>
      </c>
      <c r="D26" s="89" t="s">
        <v>317</v>
      </c>
      <c r="E26" s="51" t="s">
        <v>188</v>
      </c>
      <c r="F26" s="69">
        <v>81768.06</v>
      </c>
      <c r="G26" s="67">
        <v>130000</v>
      </c>
      <c r="H26" s="69">
        <v>65000</v>
      </c>
      <c r="I26" s="69">
        <v>65000</v>
      </c>
      <c r="J26" s="69">
        <v>0</v>
      </c>
      <c r="K26" s="70">
        <f t="shared" ref="K26" si="67">G26-SUM(H26,I26,J26)</f>
        <v>0</v>
      </c>
      <c r="L26" s="67">
        <f t="shared" ref="L26" si="68">F26-H26</f>
        <v>16768.059999999998</v>
      </c>
      <c r="M26" s="56" t="s">
        <v>88</v>
      </c>
      <c r="N26" s="54">
        <v>46015</v>
      </c>
      <c r="O26" s="55">
        <f t="shared" ref="O26" si="69">G26-F26</f>
        <v>48231.94</v>
      </c>
    </row>
    <row r="27" spans="1:17" ht="15">
      <c r="A27" s="54">
        <v>45980</v>
      </c>
      <c r="B27" s="51" t="s">
        <v>140</v>
      </c>
      <c r="C27" s="51" t="s">
        <v>300</v>
      </c>
      <c r="D27" s="89" t="s">
        <v>317</v>
      </c>
      <c r="E27" s="51" t="s">
        <v>301</v>
      </c>
      <c r="F27" s="69">
        <v>374913.64</v>
      </c>
      <c r="G27" s="67">
        <v>490000</v>
      </c>
      <c r="H27" s="69">
        <v>245000</v>
      </c>
      <c r="I27" s="69">
        <v>245000</v>
      </c>
      <c r="J27" s="69">
        <v>0</v>
      </c>
      <c r="K27" s="70">
        <f t="shared" ref="K27" si="70">G27-SUM(H27,I27,J27)</f>
        <v>0</v>
      </c>
      <c r="L27" s="67">
        <f t="shared" ref="L27" si="71">F27-H27</f>
        <v>129913.64000000001</v>
      </c>
      <c r="M27" s="56" t="s">
        <v>88</v>
      </c>
      <c r="N27" s="54">
        <v>46011</v>
      </c>
      <c r="O27" s="55">
        <f t="shared" ref="O27" si="72">G27-F27</f>
        <v>115086.35999999999</v>
      </c>
    </row>
    <row r="28" spans="1:17" ht="28.5">
      <c r="A28" s="54">
        <v>45970</v>
      </c>
      <c r="B28" s="51" t="s">
        <v>294</v>
      </c>
      <c r="C28" s="51" t="s">
        <v>295</v>
      </c>
      <c r="D28" s="84" t="s">
        <v>299</v>
      </c>
      <c r="E28" s="51" t="s">
        <v>105</v>
      </c>
      <c r="F28" s="69">
        <v>421000</v>
      </c>
      <c r="G28" s="67">
        <v>520000</v>
      </c>
      <c r="H28" s="69">
        <v>260000</v>
      </c>
      <c r="I28" s="69">
        <v>260000</v>
      </c>
      <c r="J28" s="69">
        <v>0</v>
      </c>
      <c r="K28" s="70">
        <f t="shared" ref="K28" si="73">G28-SUM(H28,I28,J28)</f>
        <v>0</v>
      </c>
      <c r="L28" s="67">
        <f t="shared" ref="L28" si="74">F28-H28</f>
        <v>161000</v>
      </c>
      <c r="M28" s="56" t="s">
        <v>88</v>
      </c>
      <c r="N28" s="54">
        <v>45997</v>
      </c>
      <c r="O28" s="55">
        <f t="shared" ref="O28" si="75">G28-F28</f>
        <v>99000</v>
      </c>
      <c r="P28" s="49">
        <v>3148049210</v>
      </c>
      <c r="Q28" s="49" t="s">
        <v>296</v>
      </c>
    </row>
    <row r="29" spans="1:17" ht="15">
      <c r="A29" s="54">
        <v>45970</v>
      </c>
      <c r="B29" s="51" t="s">
        <v>65</v>
      </c>
      <c r="C29" s="51" t="s">
        <v>272</v>
      </c>
      <c r="D29" s="84" t="s">
        <v>293</v>
      </c>
      <c r="E29" s="51" t="s">
        <v>67</v>
      </c>
      <c r="F29" s="69">
        <v>342635.4</v>
      </c>
      <c r="G29" s="67">
        <v>490000</v>
      </c>
      <c r="H29" s="69">
        <v>100000</v>
      </c>
      <c r="I29" s="69">
        <v>100000</v>
      </c>
      <c r="J29" s="69">
        <v>290000</v>
      </c>
      <c r="K29" s="70">
        <f t="shared" ref="K29:K60" si="76">G29-SUM(H29,I29,J29)</f>
        <v>0</v>
      </c>
      <c r="L29" s="67">
        <f t="shared" ref="L29:L60" si="77">F29-H29</f>
        <v>242635.40000000002</v>
      </c>
      <c r="M29" s="56" t="s">
        <v>88</v>
      </c>
      <c r="N29" s="54">
        <v>45995</v>
      </c>
      <c r="O29" s="55">
        <f t="shared" ref="O29:O60" si="78">G29-F29</f>
        <v>147364.59999999998</v>
      </c>
    </row>
    <row r="30" spans="1:17" ht="15">
      <c r="A30" s="54">
        <v>45948</v>
      </c>
      <c r="B30" s="51" t="s">
        <v>41</v>
      </c>
      <c r="C30" s="51" t="s">
        <v>235</v>
      </c>
      <c r="D30" s="84" t="s">
        <v>149</v>
      </c>
      <c r="E30" s="51" t="s">
        <v>161</v>
      </c>
      <c r="F30" s="69">
        <v>128490</v>
      </c>
      <c r="G30" s="67">
        <v>180000</v>
      </c>
      <c r="H30" s="69">
        <v>180000</v>
      </c>
      <c r="I30" s="69">
        <v>0</v>
      </c>
      <c r="J30" s="69">
        <v>0</v>
      </c>
      <c r="K30" s="70">
        <f t="shared" si="76"/>
        <v>0</v>
      </c>
      <c r="L30" s="67">
        <f t="shared" si="77"/>
        <v>-51510</v>
      </c>
      <c r="M30" s="56" t="s">
        <v>88</v>
      </c>
      <c r="N30" s="54">
        <v>45949</v>
      </c>
      <c r="O30" s="55">
        <f t="shared" si="78"/>
        <v>51510</v>
      </c>
    </row>
    <row r="31" spans="1:17" ht="28.5">
      <c r="A31" s="54">
        <v>45945</v>
      </c>
      <c r="B31" s="51" t="s">
        <v>221</v>
      </c>
      <c r="C31" s="51" t="s">
        <v>269</v>
      </c>
      <c r="D31" s="84" t="s">
        <v>270</v>
      </c>
      <c r="E31" s="51" t="s">
        <v>105</v>
      </c>
      <c r="F31" s="69">
        <v>236319</v>
      </c>
      <c r="G31" s="67">
        <v>390000</v>
      </c>
      <c r="H31" s="69">
        <v>300000</v>
      </c>
      <c r="I31" s="69">
        <v>90000</v>
      </c>
      <c r="J31" s="69">
        <v>0</v>
      </c>
      <c r="K31" s="70">
        <f t="shared" si="76"/>
        <v>0</v>
      </c>
      <c r="L31" s="67">
        <f t="shared" si="77"/>
        <v>-63681</v>
      </c>
      <c r="M31" s="56" t="s">
        <v>88</v>
      </c>
      <c r="N31" s="54">
        <v>45972</v>
      </c>
      <c r="O31" s="55">
        <f t="shared" si="78"/>
        <v>153681</v>
      </c>
      <c r="P31" s="49">
        <v>3196049243</v>
      </c>
    </row>
    <row r="32" spans="1:17" ht="28.5">
      <c r="A32" s="54">
        <v>45945</v>
      </c>
      <c r="B32" s="51" t="s">
        <v>221</v>
      </c>
      <c r="C32" s="51" t="s">
        <v>291</v>
      </c>
      <c r="D32" s="84" t="s">
        <v>270</v>
      </c>
      <c r="E32" s="51" t="s">
        <v>271</v>
      </c>
      <c r="F32" s="69">
        <v>125000</v>
      </c>
      <c r="G32" s="67">
        <v>220000</v>
      </c>
      <c r="H32" s="69">
        <v>100000</v>
      </c>
      <c r="I32" s="69">
        <v>120000</v>
      </c>
      <c r="J32" s="69">
        <v>0</v>
      </c>
      <c r="K32" s="70">
        <f t="shared" si="76"/>
        <v>0</v>
      </c>
      <c r="L32" s="67">
        <f t="shared" si="77"/>
        <v>25000</v>
      </c>
      <c r="M32" s="56" t="s">
        <v>88</v>
      </c>
      <c r="N32" s="54">
        <v>45972</v>
      </c>
      <c r="O32" s="55">
        <f t="shared" si="78"/>
        <v>95000</v>
      </c>
      <c r="P32" s="49">
        <v>3196049243</v>
      </c>
    </row>
    <row r="33" spans="1:16" ht="15">
      <c r="A33" s="54">
        <v>45945</v>
      </c>
      <c r="B33" s="51" t="s">
        <v>206</v>
      </c>
      <c r="C33" s="51" t="s">
        <v>289</v>
      </c>
      <c r="D33" s="84" t="s">
        <v>149</v>
      </c>
      <c r="E33" s="51" t="s">
        <v>290</v>
      </c>
      <c r="F33" s="69">
        <v>336000</v>
      </c>
      <c r="G33" s="67">
        <v>336000</v>
      </c>
      <c r="H33" s="69">
        <v>100000</v>
      </c>
      <c r="I33" s="69">
        <v>236000</v>
      </c>
      <c r="J33" s="69">
        <v>0</v>
      </c>
      <c r="K33" s="70">
        <f t="shared" si="76"/>
        <v>0</v>
      </c>
      <c r="L33" s="67">
        <f t="shared" si="77"/>
        <v>236000</v>
      </c>
      <c r="M33" s="56" t="s">
        <v>88</v>
      </c>
      <c r="N33" s="54">
        <v>45971</v>
      </c>
      <c r="O33" s="55">
        <f t="shared" si="78"/>
        <v>0</v>
      </c>
    </row>
    <row r="34" spans="1:16" ht="15">
      <c r="A34" s="54">
        <v>45941</v>
      </c>
      <c r="B34" s="51" t="s">
        <v>140</v>
      </c>
      <c r="C34" s="51" t="s">
        <v>266</v>
      </c>
      <c r="D34" s="84" t="s">
        <v>149</v>
      </c>
      <c r="E34" s="51" t="s">
        <v>30</v>
      </c>
      <c r="F34" s="69">
        <v>288035</v>
      </c>
      <c r="G34" s="67">
        <v>450000</v>
      </c>
      <c r="H34" s="69">
        <v>225000</v>
      </c>
      <c r="I34" s="69">
        <v>225000</v>
      </c>
      <c r="J34" s="69">
        <v>0</v>
      </c>
      <c r="K34" s="70">
        <f t="shared" si="76"/>
        <v>0</v>
      </c>
      <c r="L34" s="67">
        <f t="shared" si="77"/>
        <v>63035</v>
      </c>
      <c r="M34" s="56" t="s">
        <v>88</v>
      </c>
      <c r="N34" s="54">
        <v>45971</v>
      </c>
      <c r="O34" s="55">
        <f t="shared" si="78"/>
        <v>161965</v>
      </c>
    </row>
    <row r="35" spans="1:16" ht="28.5">
      <c r="A35" s="54">
        <v>45938</v>
      </c>
      <c r="B35" s="51" t="s">
        <v>267</v>
      </c>
      <c r="C35" s="51" t="s">
        <v>109</v>
      </c>
      <c r="D35" s="84" t="s">
        <v>149</v>
      </c>
      <c r="E35" s="51" t="s">
        <v>268</v>
      </c>
      <c r="F35" s="69">
        <v>423024</v>
      </c>
      <c r="G35" s="67">
        <v>520000</v>
      </c>
      <c r="H35" s="69">
        <v>100000</v>
      </c>
      <c r="I35" s="69">
        <v>300000</v>
      </c>
      <c r="J35" s="69">
        <v>120000</v>
      </c>
      <c r="K35" s="70">
        <f t="shared" si="76"/>
        <v>0</v>
      </c>
      <c r="L35" s="67">
        <f t="shared" si="77"/>
        <v>323024</v>
      </c>
      <c r="M35" s="56" t="s">
        <v>88</v>
      </c>
      <c r="N35" s="54">
        <v>45953</v>
      </c>
      <c r="O35" s="55">
        <f t="shared" si="78"/>
        <v>96976</v>
      </c>
    </row>
    <row r="36" spans="1:16" ht="28.5">
      <c r="A36" s="54">
        <v>45938</v>
      </c>
      <c r="B36" s="51" t="s">
        <v>267</v>
      </c>
      <c r="C36" s="51" t="s">
        <v>218</v>
      </c>
      <c r="D36" s="84" t="s">
        <v>149</v>
      </c>
      <c r="E36" s="51" t="s">
        <v>20</v>
      </c>
      <c r="F36" s="69">
        <v>177296</v>
      </c>
      <c r="G36" s="67">
        <v>250000</v>
      </c>
      <c r="H36" s="69">
        <v>50000</v>
      </c>
      <c r="I36" s="69">
        <v>100000</v>
      </c>
      <c r="J36" s="69">
        <v>100000</v>
      </c>
      <c r="K36" s="70">
        <f t="shared" si="76"/>
        <v>0</v>
      </c>
      <c r="L36" s="67">
        <f t="shared" si="77"/>
        <v>127296</v>
      </c>
      <c r="M36" s="56" t="s">
        <v>88</v>
      </c>
      <c r="N36" s="54">
        <v>45953</v>
      </c>
      <c r="O36" s="55">
        <f t="shared" si="78"/>
        <v>72704</v>
      </c>
    </row>
    <row r="37" spans="1:16" ht="15">
      <c r="A37" s="54">
        <v>45931</v>
      </c>
      <c r="B37" s="51" t="s">
        <v>206</v>
      </c>
      <c r="C37" s="51" t="s">
        <v>212</v>
      </c>
      <c r="D37" s="84" t="s">
        <v>149</v>
      </c>
      <c r="E37" s="51" t="s">
        <v>252</v>
      </c>
      <c r="F37" s="69">
        <v>205307</v>
      </c>
      <c r="G37" s="67">
        <v>210000</v>
      </c>
      <c r="H37" s="69">
        <v>0</v>
      </c>
      <c r="I37" s="69">
        <v>210000</v>
      </c>
      <c r="J37" s="69">
        <v>0</v>
      </c>
      <c r="K37" s="70">
        <f t="shared" si="76"/>
        <v>0</v>
      </c>
      <c r="L37" s="67">
        <f t="shared" si="77"/>
        <v>205307</v>
      </c>
      <c r="M37" s="56" t="s">
        <v>88</v>
      </c>
      <c r="N37" s="54" t="s">
        <v>270</v>
      </c>
      <c r="O37" s="55">
        <f t="shared" si="78"/>
        <v>4693</v>
      </c>
    </row>
    <row r="38" spans="1:16" ht="15">
      <c r="A38" s="54">
        <v>45930</v>
      </c>
      <c r="B38" s="51" t="s">
        <v>282</v>
      </c>
      <c r="C38" s="51" t="s">
        <v>250</v>
      </c>
      <c r="D38" s="84" t="s">
        <v>256</v>
      </c>
      <c r="E38" s="51" t="s">
        <v>249</v>
      </c>
      <c r="F38" s="69">
        <v>356444.27</v>
      </c>
      <c r="G38" s="67">
        <v>356444.27</v>
      </c>
      <c r="H38" s="69">
        <v>200000</v>
      </c>
      <c r="I38" s="69">
        <v>156444.26999999999</v>
      </c>
      <c r="J38" s="69">
        <v>0</v>
      </c>
      <c r="K38" s="70">
        <f t="shared" si="76"/>
        <v>0</v>
      </c>
      <c r="L38" s="67">
        <f t="shared" si="77"/>
        <v>156444.27000000002</v>
      </c>
      <c r="M38" s="56" t="s">
        <v>88</v>
      </c>
      <c r="N38" s="54">
        <v>45958</v>
      </c>
      <c r="O38" s="55">
        <f t="shared" si="78"/>
        <v>0</v>
      </c>
    </row>
    <row r="39" spans="1:16" ht="15">
      <c r="A39" s="54">
        <v>45930</v>
      </c>
      <c r="B39" s="51" t="s">
        <v>282</v>
      </c>
      <c r="C39" s="51" t="s">
        <v>251</v>
      </c>
      <c r="D39" s="84" t="s">
        <v>256</v>
      </c>
      <c r="E39" s="51" t="s">
        <v>72</v>
      </c>
      <c r="F39" s="69">
        <v>217942.45</v>
      </c>
      <c r="G39" s="67">
        <v>217942.45</v>
      </c>
      <c r="H39" s="69">
        <v>200000</v>
      </c>
      <c r="I39" s="69">
        <v>5000</v>
      </c>
      <c r="J39" s="69">
        <v>12942.45</v>
      </c>
      <c r="K39" s="70">
        <f t="shared" si="76"/>
        <v>0</v>
      </c>
      <c r="L39" s="67">
        <f t="shared" si="77"/>
        <v>17942.450000000012</v>
      </c>
      <c r="M39" s="56" t="s">
        <v>88</v>
      </c>
      <c r="N39" s="54">
        <v>45958</v>
      </c>
      <c r="O39" s="55">
        <f t="shared" si="78"/>
        <v>0</v>
      </c>
    </row>
    <row r="40" spans="1:16" ht="15">
      <c r="A40" s="54">
        <v>45930</v>
      </c>
      <c r="B40" s="51" t="s">
        <v>282</v>
      </c>
      <c r="C40" s="51" t="s">
        <v>254</v>
      </c>
      <c r="D40" s="84">
        <v>2551845623</v>
      </c>
      <c r="E40" s="51" t="s">
        <v>255</v>
      </c>
      <c r="F40" s="69">
        <v>800000</v>
      </c>
      <c r="G40" s="67">
        <v>800000</v>
      </c>
      <c r="H40" s="69">
        <v>800000</v>
      </c>
      <c r="I40" s="69">
        <v>0</v>
      </c>
      <c r="J40" s="69">
        <v>0</v>
      </c>
      <c r="K40" s="70">
        <f t="shared" si="76"/>
        <v>0</v>
      </c>
      <c r="L40" s="67">
        <f t="shared" si="77"/>
        <v>0</v>
      </c>
      <c r="M40" s="56" t="s">
        <v>88</v>
      </c>
      <c r="N40" s="54">
        <v>45958</v>
      </c>
      <c r="O40" s="55">
        <f t="shared" si="78"/>
        <v>0</v>
      </c>
    </row>
    <row r="41" spans="1:16" ht="15">
      <c r="A41" s="54">
        <v>45926</v>
      </c>
      <c r="B41" s="51" t="s">
        <v>225</v>
      </c>
      <c r="C41" s="51" t="s">
        <v>226</v>
      </c>
      <c r="D41" s="84" t="s">
        <v>270</v>
      </c>
      <c r="E41" s="51" t="s">
        <v>156</v>
      </c>
      <c r="F41" s="69">
        <v>424781.89</v>
      </c>
      <c r="G41" s="67">
        <v>580000</v>
      </c>
      <c r="H41" s="69">
        <v>324000</v>
      </c>
      <c r="I41" s="69">
        <v>256000</v>
      </c>
      <c r="J41" s="69">
        <v>0</v>
      </c>
      <c r="K41" s="70">
        <f t="shared" si="76"/>
        <v>0</v>
      </c>
      <c r="L41" s="67">
        <f t="shared" si="77"/>
        <v>100781.89000000001</v>
      </c>
      <c r="M41" s="56" t="s">
        <v>88</v>
      </c>
      <c r="N41" s="54">
        <v>45979</v>
      </c>
      <c r="O41" s="55">
        <f t="shared" si="78"/>
        <v>155218.10999999999</v>
      </c>
    </row>
    <row r="42" spans="1:16" ht="28.5">
      <c r="A42" s="54">
        <v>45909</v>
      </c>
      <c r="B42" s="51" t="s">
        <v>221</v>
      </c>
      <c r="C42" s="51" t="s">
        <v>222</v>
      </c>
      <c r="D42" s="84" t="s">
        <v>270</v>
      </c>
      <c r="E42" s="51" t="s">
        <v>186</v>
      </c>
      <c r="F42" s="69">
        <v>281965.21000000002</v>
      </c>
      <c r="G42" s="67">
        <v>350000</v>
      </c>
      <c r="H42" s="69">
        <f>490000/2</f>
        <v>245000</v>
      </c>
      <c r="I42" s="69">
        <v>105000</v>
      </c>
      <c r="J42" s="69">
        <v>0</v>
      </c>
      <c r="K42" s="70">
        <f t="shared" si="76"/>
        <v>0</v>
      </c>
      <c r="L42" s="67">
        <f t="shared" si="77"/>
        <v>36965.210000000021</v>
      </c>
      <c r="M42" s="56" t="s">
        <v>88</v>
      </c>
      <c r="N42" s="54">
        <v>45931</v>
      </c>
      <c r="O42" s="55">
        <f t="shared" si="78"/>
        <v>68034.789999999979</v>
      </c>
      <c r="P42" s="49">
        <v>3196049243</v>
      </c>
    </row>
    <row r="43" spans="1:16" ht="28.5">
      <c r="A43" s="54">
        <v>45909</v>
      </c>
      <c r="B43" s="51" t="s">
        <v>221</v>
      </c>
      <c r="C43" s="51" t="s">
        <v>223</v>
      </c>
      <c r="D43" s="84" t="s">
        <v>270</v>
      </c>
      <c r="E43" s="51" t="s">
        <v>190</v>
      </c>
      <c r="F43" s="69">
        <v>206750</v>
      </c>
      <c r="G43" s="67">
        <v>400000</v>
      </c>
      <c r="H43" s="69">
        <f>490000/2</f>
        <v>245000</v>
      </c>
      <c r="I43" s="69">
        <v>150000</v>
      </c>
      <c r="J43" s="69">
        <v>5000</v>
      </c>
      <c r="K43" s="70">
        <f t="shared" si="76"/>
        <v>0</v>
      </c>
      <c r="L43" s="67">
        <f t="shared" si="77"/>
        <v>-38250</v>
      </c>
      <c r="M43" s="56" t="s">
        <v>88</v>
      </c>
      <c r="N43" s="54">
        <v>45931</v>
      </c>
      <c r="O43" s="55">
        <f t="shared" si="78"/>
        <v>193250</v>
      </c>
      <c r="P43" s="49">
        <v>3196049243</v>
      </c>
    </row>
    <row r="44" spans="1:16" ht="15">
      <c r="A44" s="54">
        <v>45902</v>
      </c>
      <c r="B44" s="51" t="s">
        <v>282</v>
      </c>
      <c r="C44" s="51" t="s">
        <v>240</v>
      </c>
      <c r="D44" s="84" t="s">
        <v>270</v>
      </c>
      <c r="E44" s="51" t="s">
        <v>161</v>
      </c>
      <c r="F44" s="69">
        <v>128490.8</v>
      </c>
      <c r="G44" s="67">
        <v>130000</v>
      </c>
      <c r="H44" s="69">
        <v>35000</v>
      </c>
      <c r="I44" s="69">
        <v>95000</v>
      </c>
      <c r="J44" s="69">
        <v>0</v>
      </c>
      <c r="K44" s="70">
        <f t="shared" si="76"/>
        <v>0</v>
      </c>
      <c r="L44" s="67">
        <f t="shared" si="77"/>
        <v>93490.8</v>
      </c>
      <c r="M44" s="56" t="s">
        <v>88</v>
      </c>
      <c r="N44" s="54">
        <v>45931</v>
      </c>
      <c r="O44" s="55">
        <f t="shared" si="78"/>
        <v>1509.1999999999971</v>
      </c>
    </row>
    <row r="45" spans="1:16" ht="15">
      <c r="A45" s="54">
        <v>45891</v>
      </c>
      <c r="B45" s="51" t="s">
        <v>279</v>
      </c>
      <c r="C45" s="51" t="s">
        <v>218</v>
      </c>
      <c r="D45" s="84" t="s">
        <v>149</v>
      </c>
      <c r="E45" s="51"/>
      <c r="F45" s="69">
        <v>461859.16</v>
      </c>
      <c r="G45" s="67">
        <v>510000</v>
      </c>
      <c r="H45" s="69">
        <v>200000</v>
      </c>
      <c r="I45" s="69">
        <v>310000</v>
      </c>
      <c r="J45" s="69">
        <v>0</v>
      </c>
      <c r="K45" s="70">
        <f t="shared" si="76"/>
        <v>0</v>
      </c>
      <c r="L45" s="67">
        <f t="shared" si="77"/>
        <v>261859.15999999997</v>
      </c>
      <c r="M45" s="56" t="s">
        <v>88</v>
      </c>
      <c r="N45" s="54" t="s">
        <v>328</v>
      </c>
      <c r="O45" s="55">
        <f t="shared" si="78"/>
        <v>48140.840000000026</v>
      </c>
    </row>
    <row r="46" spans="1:16" ht="15">
      <c r="A46" s="54">
        <v>45890</v>
      </c>
      <c r="B46" s="51" t="s">
        <v>41</v>
      </c>
      <c r="C46" s="51" t="s">
        <v>167</v>
      </c>
      <c r="D46" s="84" t="s">
        <v>87</v>
      </c>
      <c r="E46" s="51" t="s">
        <v>168</v>
      </c>
      <c r="F46" s="69">
        <v>253171.93</v>
      </c>
      <c r="G46" s="67">
        <v>400000</v>
      </c>
      <c r="H46" s="69">
        <v>250000</v>
      </c>
      <c r="I46" s="69">
        <v>150000</v>
      </c>
      <c r="J46" s="69">
        <v>0</v>
      </c>
      <c r="K46" s="70">
        <f t="shared" si="76"/>
        <v>0</v>
      </c>
      <c r="L46" s="67">
        <f t="shared" si="77"/>
        <v>3171.929999999993</v>
      </c>
      <c r="M46" s="56" t="s">
        <v>88</v>
      </c>
      <c r="N46" s="54">
        <v>45931</v>
      </c>
      <c r="O46" s="55">
        <f t="shared" si="78"/>
        <v>146828.07</v>
      </c>
    </row>
    <row r="47" spans="1:16" ht="15">
      <c r="A47" s="54">
        <v>45873</v>
      </c>
      <c r="B47" s="51" t="s">
        <v>279</v>
      </c>
      <c r="C47" s="51" t="s">
        <v>212</v>
      </c>
      <c r="D47" s="84" t="s">
        <v>149</v>
      </c>
      <c r="E47" s="51" t="s">
        <v>224</v>
      </c>
      <c r="F47" s="69">
        <v>229000</v>
      </c>
      <c r="G47" s="67">
        <v>370000</v>
      </c>
      <c r="H47" s="69">
        <v>200000</v>
      </c>
      <c r="I47" s="69">
        <v>170000</v>
      </c>
      <c r="J47" s="69">
        <v>0</v>
      </c>
      <c r="K47" s="70">
        <f t="shared" si="76"/>
        <v>0</v>
      </c>
      <c r="L47" s="67">
        <f t="shared" si="77"/>
        <v>29000</v>
      </c>
      <c r="M47" s="56" t="s">
        <v>88</v>
      </c>
      <c r="N47" s="54">
        <v>45931</v>
      </c>
      <c r="O47" s="55">
        <f t="shared" si="78"/>
        <v>141000</v>
      </c>
    </row>
    <row r="48" spans="1:16" ht="15">
      <c r="A48" s="54">
        <v>45873</v>
      </c>
      <c r="B48" s="51" t="s">
        <v>275</v>
      </c>
      <c r="C48" s="51" t="s">
        <v>220</v>
      </c>
      <c r="D48" s="84" t="s">
        <v>87</v>
      </c>
      <c r="E48" s="51"/>
      <c r="F48" s="69">
        <v>61000</v>
      </c>
      <c r="G48" s="67">
        <v>61000</v>
      </c>
      <c r="H48" s="69">
        <v>0</v>
      </c>
      <c r="I48" s="69">
        <v>61000</v>
      </c>
      <c r="J48" s="69">
        <v>0</v>
      </c>
      <c r="K48" s="70">
        <f t="shared" si="76"/>
        <v>0</v>
      </c>
      <c r="L48" s="67">
        <f t="shared" si="77"/>
        <v>61000</v>
      </c>
      <c r="M48" s="56" t="s">
        <v>88</v>
      </c>
      <c r="N48" s="54">
        <v>45931</v>
      </c>
      <c r="O48" s="55">
        <f t="shared" si="78"/>
        <v>0</v>
      </c>
    </row>
    <row r="49" spans="1:17" ht="15">
      <c r="A49" s="57">
        <v>45867</v>
      </c>
      <c r="B49" s="58" t="s">
        <v>285</v>
      </c>
      <c r="C49" s="58" t="s">
        <v>216</v>
      </c>
      <c r="D49" s="85"/>
      <c r="E49" s="51" t="s">
        <v>217</v>
      </c>
      <c r="F49" s="71">
        <v>285600</v>
      </c>
      <c r="G49" s="67">
        <v>370000</v>
      </c>
      <c r="H49" s="71">
        <v>370000</v>
      </c>
      <c r="I49" s="69">
        <v>0</v>
      </c>
      <c r="J49" s="69">
        <v>0</v>
      </c>
      <c r="K49" s="70">
        <f t="shared" si="76"/>
        <v>0</v>
      </c>
      <c r="L49" s="67">
        <f t="shared" si="77"/>
        <v>-84400</v>
      </c>
      <c r="M49" s="56" t="s">
        <v>88</v>
      </c>
      <c r="N49" s="54">
        <v>45833</v>
      </c>
      <c r="O49" s="55">
        <f t="shared" si="78"/>
        <v>84400</v>
      </c>
    </row>
    <row r="50" spans="1:17" ht="28.5">
      <c r="A50" s="57">
        <v>45861</v>
      </c>
      <c r="B50" s="58" t="s">
        <v>283</v>
      </c>
      <c r="C50" s="58" t="s">
        <v>214</v>
      </c>
      <c r="D50" s="59" t="s">
        <v>87</v>
      </c>
      <c r="E50" s="51" t="s">
        <v>161</v>
      </c>
      <c r="F50" s="71">
        <v>140000</v>
      </c>
      <c r="G50" s="67">
        <v>195000</v>
      </c>
      <c r="H50" s="71">
        <v>195000</v>
      </c>
      <c r="I50" s="69" t="s">
        <v>248</v>
      </c>
      <c r="J50" s="69">
        <v>0</v>
      </c>
      <c r="K50" s="70">
        <f t="shared" si="76"/>
        <v>0</v>
      </c>
      <c r="L50" s="67">
        <f t="shared" si="77"/>
        <v>-55000</v>
      </c>
      <c r="M50" s="56" t="s">
        <v>88</v>
      </c>
      <c r="N50" s="54">
        <v>45877</v>
      </c>
      <c r="O50" s="55">
        <f t="shared" si="78"/>
        <v>55000</v>
      </c>
    </row>
    <row r="51" spans="1:17" ht="28.5">
      <c r="A51" s="57">
        <v>45855</v>
      </c>
      <c r="B51" s="51" t="s">
        <v>69</v>
      </c>
      <c r="C51" s="51" t="s">
        <v>212</v>
      </c>
      <c r="D51" s="84" t="s">
        <v>87</v>
      </c>
      <c r="E51" s="51" t="s">
        <v>110</v>
      </c>
      <c r="F51" s="69">
        <v>192495.54</v>
      </c>
      <c r="G51" s="67">
        <v>280000</v>
      </c>
      <c r="H51" s="71">
        <v>100000</v>
      </c>
      <c r="I51" s="69">
        <v>180000</v>
      </c>
      <c r="J51" s="69">
        <v>0</v>
      </c>
      <c r="K51" s="70">
        <f t="shared" si="76"/>
        <v>0</v>
      </c>
      <c r="L51" s="67">
        <f t="shared" si="77"/>
        <v>92495.540000000008</v>
      </c>
      <c r="M51" s="56" t="s">
        <v>88</v>
      </c>
      <c r="N51" s="54">
        <v>45870</v>
      </c>
      <c r="O51" s="55">
        <f t="shared" si="78"/>
        <v>87504.459999999992</v>
      </c>
    </row>
    <row r="52" spans="1:17" s="51" customFormat="1" ht="15">
      <c r="A52" s="57">
        <v>45853</v>
      </c>
      <c r="B52" s="51" t="s">
        <v>275</v>
      </c>
      <c r="C52" s="51" t="s">
        <v>219</v>
      </c>
      <c r="D52" s="60" t="s">
        <v>149</v>
      </c>
      <c r="E52" s="51" t="s">
        <v>161</v>
      </c>
      <c r="F52" s="71">
        <v>115000</v>
      </c>
      <c r="G52" s="67">
        <v>115000</v>
      </c>
      <c r="H52" s="71">
        <v>100000</v>
      </c>
      <c r="I52" s="69">
        <v>15000</v>
      </c>
      <c r="J52" s="69">
        <v>0</v>
      </c>
      <c r="K52" s="70">
        <f t="shared" si="76"/>
        <v>0</v>
      </c>
      <c r="L52" s="67">
        <f t="shared" si="77"/>
        <v>15000</v>
      </c>
      <c r="M52" s="56" t="s">
        <v>88</v>
      </c>
      <c r="N52" s="54">
        <v>45858</v>
      </c>
      <c r="O52" s="55">
        <f t="shared" si="78"/>
        <v>0</v>
      </c>
      <c r="P52" s="49"/>
      <c r="Q52" s="49"/>
    </row>
    <row r="53" spans="1:17" s="51" customFormat="1" ht="15">
      <c r="A53" s="57">
        <v>45853</v>
      </c>
      <c r="B53" s="51" t="s">
        <v>288</v>
      </c>
      <c r="C53" s="51" t="s">
        <v>213</v>
      </c>
      <c r="D53" s="60" t="s">
        <v>149</v>
      </c>
      <c r="E53" s="51" t="s">
        <v>161</v>
      </c>
      <c r="F53" s="71">
        <v>140000</v>
      </c>
      <c r="G53" s="67">
        <v>140000</v>
      </c>
      <c r="H53" s="71">
        <v>140000</v>
      </c>
      <c r="I53" s="69">
        <v>0</v>
      </c>
      <c r="J53" s="69">
        <v>0</v>
      </c>
      <c r="K53" s="70">
        <f t="shared" si="76"/>
        <v>0</v>
      </c>
      <c r="L53" s="67">
        <f t="shared" si="77"/>
        <v>0</v>
      </c>
      <c r="M53" s="56" t="s">
        <v>88</v>
      </c>
      <c r="N53" s="54">
        <v>45858</v>
      </c>
      <c r="O53" s="55">
        <f t="shared" si="78"/>
        <v>0</v>
      </c>
      <c r="P53" s="49"/>
      <c r="Q53" s="49"/>
    </row>
    <row r="54" spans="1:17" s="51" customFormat="1" ht="15">
      <c r="A54" s="54">
        <v>45852</v>
      </c>
      <c r="B54" s="51" t="s">
        <v>206</v>
      </c>
      <c r="C54" s="51" t="s">
        <v>207</v>
      </c>
      <c r="D54" s="84">
        <v>464972364450</v>
      </c>
      <c r="E54" s="51" t="s">
        <v>208</v>
      </c>
      <c r="F54" s="69">
        <v>135000</v>
      </c>
      <c r="G54" s="72">
        <v>200000</v>
      </c>
      <c r="H54" s="69">
        <v>200000</v>
      </c>
      <c r="I54" s="69">
        <v>0</v>
      </c>
      <c r="J54" s="69">
        <v>0</v>
      </c>
      <c r="K54" s="70">
        <f t="shared" si="76"/>
        <v>0</v>
      </c>
      <c r="L54" s="67">
        <f t="shared" si="77"/>
        <v>-65000</v>
      </c>
      <c r="M54" s="56" t="s">
        <v>88</v>
      </c>
      <c r="N54" s="54">
        <v>45890</v>
      </c>
      <c r="O54" s="55">
        <f t="shared" si="78"/>
        <v>65000</v>
      </c>
      <c r="P54" s="49"/>
      <c r="Q54" s="49"/>
    </row>
    <row r="55" spans="1:17" s="51" customFormat="1" ht="15">
      <c r="A55" s="54">
        <v>45852</v>
      </c>
      <c r="B55" s="51" t="s">
        <v>282</v>
      </c>
      <c r="C55" s="61" t="s">
        <v>207</v>
      </c>
      <c r="D55" s="84">
        <v>464972364450</v>
      </c>
      <c r="E55" s="51" t="s">
        <v>208</v>
      </c>
      <c r="F55" s="69">
        <v>135000</v>
      </c>
      <c r="G55" s="67">
        <v>135000</v>
      </c>
      <c r="H55" s="69">
        <v>0</v>
      </c>
      <c r="I55" s="69">
        <v>135000</v>
      </c>
      <c r="J55" s="69">
        <v>0</v>
      </c>
      <c r="K55" s="70">
        <f t="shared" si="76"/>
        <v>0</v>
      </c>
      <c r="L55" s="67">
        <f t="shared" si="77"/>
        <v>135000</v>
      </c>
      <c r="M55" s="56" t="s">
        <v>88</v>
      </c>
      <c r="N55" s="54">
        <v>45890</v>
      </c>
      <c r="O55" s="55">
        <f t="shared" si="78"/>
        <v>0</v>
      </c>
      <c r="P55" s="49"/>
      <c r="Q55" s="49"/>
    </row>
    <row r="56" spans="1:17" ht="28.5">
      <c r="A56" s="54">
        <v>45852</v>
      </c>
      <c r="B56" s="51" t="s">
        <v>69</v>
      </c>
      <c r="C56" s="51" t="s">
        <v>210</v>
      </c>
      <c r="D56" s="84" t="s">
        <v>149</v>
      </c>
      <c r="E56" s="51"/>
      <c r="F56" s="69">
        <v>281000</v>
      </c>
      <c r="G56" s="67">
        <v>375000</v>
      </c>
      <c r="H56" s="69">
        <v>100000</v>
      </c>
      <c r="I56" s="69">
        <v>275000</v>
      </c>
      <c r="J56" s="69">
        <v>0</v>
      </c>
      <c r="K56" s="70">
        <f t="shared" si="76"/>
        <v>0</v>
      </c>
      <c r="L56" s="67">
        <f t="shared" si="77"/>
        <v>181000</v>
      </c>
      <c r="M56" s="56" t="s">
        <v>88</v>
      </c>
      <c r="N56" s="54">
        <v>45870</v>
      </c>
      <c r="O56" s="55">
        <f t="shared" si="78"/>
        <v>94000</v>
      </c>
    </row>
    <row r="57" spans="1:17" ht="15">
      <c r="A57" s="54">
        <v>45847</v>
      </c>
      <c r="B57" s="51" t="s">
        <v>204</v>
      </c>
      <c r="C57" s="61" t="s">
        <v>205</v>
      </c>
      <c r="D57" s="84" t="s">
        <v>211</v>
      </c>
      <c r="E57" s="51" t="s">
        <v>161</v>
      </c>
      <c r="F57" s="69">
        <v>525070</v>
      </c>
      <c r="G57" s="72">
        <v>650000</v>
      </c>
      <c r="H57" s="69">
        <v>400000</v>
      </c>
      <c r="I57" s="69">
        <v>250000</v>
      </c>
      <c r="J57" s="69">
        <v>0</v>
      </c>
      <c r="K57" s="70">
        <f t="shared" si="76"/>
        <v>0</v>
      </c>
      <c r="L57" s="67">
        <f t="shared" si="77"/>
        <v>125070</v>
      </c>
      <c r="M57" s="56" t="s">
        <v>88</v>
      </c>
      <c r="N57" s="54">
        <v>45877</v>
      </c>
      <c r="O57" s="55">
        <f t="shared" si="78"/>
        <v>124930</v>
      </c>
    </row>
    <row r="58" spans="1:17" ht="28.5">
      <c r="A58" s="54">
        <v>45842</v>
      </c>
      <c r="B58" s="58" t="s">
        <v>283</v>
      </c>
      <c r="C58" s="51" t="s">
        <v>215</v>
      </c>
      <c r="D58" s="84" t="s">
        <v>87</v>
      </c>
      <c r="E58" s="51" t="s">
        <v>161</v>
      </c>
      <c r="F58" s="69">
        <v>100000</v>
      </c>
      <c r="G58" s="67">
        <v>240000</v>
      </c>
      <c r="H58" s="69">
        <v>120000</v>
      </c>
      <c r="I58" s="69">
        <f>250000-195000+65000</f>
        <v>120000</v>
      </c>
      <c r="J58" s="69">
        <v>0</v>
      </c>
      <c r="K58" s="70">
        <f t="shared" si="76"/>
        <v>0</v>
      </c>
      <c r="L58" s="67">
        <f t="shared" si="77"/>
        <v>-20000</v>
      </c>
      <c r="M58" s="56" t="s">
        <v>88</v>
      </c>
      <c r="N58" s="54">
        <v>45881</v>
      </c>
      <c r="O58" s="55">
        <f t="shared" si="78"/>
        <v>140000</v>
      </c>
    </row>
    <row r="59" spans="1:17" ht="28.5">
      <c r="A59" s="54">
        <v>45840</v>
      </c>
      <c r="B59" s="51" t="s">
        <v>69</v>
      </c>
      <c r="C59" s="51" t="s">
        <v>199</v>
      </c>
      <c r="D59" s="84" t="s">
        <v>149</v>
      </c>
      <c r="E59" s="51" t="s">
        <v>202</v>
      </c>
      <c r="F59" s="69">
        <f>329694.26/2</f>
        <v>164847.13</v>
      </c>
      <c r="G59" s="67">
        <v>180000</v>
      </c>
      <c r="H59" s="69">
        <v>0</v>
      </c>
      <c r="I59" s="69">
        <v>180000</v>
      </c>
      <c r="J59" s="69">
        <v>0</v>
      </c>
      <c r="K59" s="70">
        <f t="shared" si="76"/>
        <v>0</v>
      </c>
      <c r="L59" s="67">
        <f t="shared" si="77"/>
        <v>164847.13</v>
      </c>
      <c r="M59" s="56" t="s">
        <v>88</v>
      </c>
      <c r="N59" s="54">
        <v>45853</v>
      </c>
      <c r="O59" s="55">
        <f t="shared" si="78"/>
        <v>15152.869999999995</v>
      </c>
    </row>
    <row r="60" spans="1:17" ht="15">
      <c r="A60" s="54">
        <v>45840</v>
      </c>
      <c r="B60" s="51" t="s">
        <v>282</v>
      </c>
      <c r="C60" s="51" t="s">
        <v>199</v>
      </c>
      <c r="D60" s="84" t="s">
        <v>149</v>
      </c>
      <c r="E60" s="51" t="s">
        <v>200</v>
      </c>
      <c r="F60" s="69">
        <f>329694.26/2</f>
        <v>164847.13</v>
      </c>
      <c r="G60" s="67">
        <v>165000</v>
      </c>
      <c r="H60" s="69">
        <v>165000</v>
      </c>
      <c r="I60" s="69">
        <v>0</v>
      </c>
      <c r="J60" s="69">
        <v>0</v>
      </c>
      <c r="K60" s="70">
        <f t="shared" si="76"/>
        <v>0</v>
      </c>
      <c r="L60" s="67">
        <f t="shared" si="77"/>
        <v>-152.86999999999534</v>
      </c>
      <c r="M60" s="56" t="s">
        <v>88</v>
      </c>
      <c r="N60" s="54">
        <v>45853</v>
      </c>
      <c r="O60" s="55">
        <f t="shared" si="78"/>
        <v>152.86999999999534</v>
      </c>
    </row>
    <row r="61" spans="1:17" ht="28.5">
      <c r="A61" s="54">
        <v>45825</v>
      </c>
      <c r="B61" s="51" t="s">
        <v>201</v>
      </c>
      <c r="C61" s="51" t="s">
        <v>199</v>
      </c>
      <c r="D61" s="84"/>
      <c r="E61" s="51" t="s">
        <v>203</v>
      </c>
      <c r="F61" s="69">
        <v>161657.51</v>
      </c>
      <c r="G61" s="67">
        <v>230000</v>
      </c>
      <c r="H61" s="69">
        <v>115000</v>
      </c>
      <c r="I61" s="69">
        <v>115000</v>
      </c>
      <c r="J61" s="69">
        <v>0</v>
      </c>
      <c r="K61" s="70">
        <f t="shared" ref="K61:K92" si="79">G61-SUM(H61,I61,J61)</f>
        <v>0</v>
      </c>
      <c r="L61" s="67">
        <f t="shared" ref="L61:L92" si="80">F61-H61</f>
        <v>46657.510000000009</v>
      </c>
      <c r="M61" s="56" t="s">
        <v>88</v>
      </c>
      <c r="N61" s="54">
        <v>45828</v>
      </c>
      <c r="O61" s="55">
        <f t="shared" ref="O61:O92" si="81">G61-F61</f>
        <v>68342.489999999991</v>
      </c>
      <c r="P61" s="51"/>
      <c r="Q61" s="51"/>
    </row>
    <row r="62" spans="1:17" ht="28.5">
      <c r="A62" s="57">
        <v>45825</v>
      </c>
      <c r="B62" s="51" t="s">
        <v>69</v>
      </c>
      <c r="C62" s="51" t="s">
        <v>158</v>
      </c>
      <c r="D62" s="84"/>
      <c r="E62" s="51"/>
      <c r="F62" s="69">
        <v>455580.24</v>
      </c>
      <c r="G62" s="67">
        <v>515000</v>
      </c>
      <c r="H62" s="71">
        <v>150000</v>
      </c>
      <c r="I62" s="69">
        <v>365000</v>
      </c>
      <c r="J62" s="69">
        <v>0</v>
      </c>
      <c r="K62" s="70">
        <f t="shared" si="79"/>
        <v>0</v>
      </c>
      <c r="L62" s="67">
        <f t="shared" si="80"/>
        <v>305580.24</v>
      </c>
      <c r="M62" s="56" t="s">
        <v>88</v>
      </c>
      <c r="N62" s="54">
        <v>45839</v>
      </c>
      <c r="O62" s="55">
        <f t="shared" si="81"/>
        <v>59419.760000000009</v>
      </c>
    </row>
    <row r="63" spans="1:17" ht="15">
      <c r="A63" s="54">
        <v>45822</v>
      </c>
      <c r="B63" s="51" t="s">
        <v>282</v>
      </c>
      <c r="C63" s="51" t="s">
        <v>198</v>
      </c>
      <c r="D63" s="86"/>
      <c r="E63" s="51" t="s">
        <v>161</v>
      </c>
      <c r="F63" s="69">
        <v>90000</v>
      </c>
      <c r="G63" s="72">
        <v>0</v>
      </c>
      <c r="H63" s="69">
        <v>0</v>
      </c>
      <c r="I63" s="69">
        <v>0</v>
      </c>
      <c r="J63" s="69">
        <v>0</v>
      </c>
      <c r="K63" s="70">
        <f t="shared" si="79"/>
        <v>0</v>
      </c>
      <c r="L63" s="67">
        <f t="shared" si="80"/>
        <v>90000</v>
      </c>
      <c r="M63" s="56" t="s">
        <v>88</v>
      </c>
      <c r="N63" s="54">
        <v>45828</v>
      </c>
      <c r="O63" s="55">
        <f t="shared" si="81"/>
        <v>-90000</v>
      </c>
      <c r="P63" s="51"/>
      <c r="Q63" s="51"/>
    </row>
    <row r="64" spans="1:17" ht="15">
      <c r="A64" s="54">
        <v>45822</v>
      </c>
      <c r="B64" s="51" t="s">
        <v>275</v>
      </c>
      <c r="C64" s="61" t="s">
        <v>160</v>
      </c>
      <c r="D64" s="84"/>
      <c r="E64" s="51" t="s">
        <v>161</v>
      </c>
      <c r="F64" s="69">
        <v>90000</v>
      </c>
      <c r="G64" s="67">
        <v>0</v>
      </c>
      <c r="H64" s="69">
        <v>0</v>
      </c>
      <c r="I64" s="69">
        <v>0</v>
      </c>
      <c r="J64" s="69">
        <v>0</v>
      </c>
      <c r="K64" s="70">
        <f t="shared" si="79"/>
        <v>0</v>
      </c>
      <c r="L64" s="67">
        <f t="shared" si="80"/>
        <v>90000</v>
      </c>
      <c r="M64" s="56" t="s">
        <v>88</v>
      </c>
      <c r="N64" s="54">
        <v>45828</v>
      </c>
      <c r="O64" s="55">
        <f t="shared" si="81"/>
        <v>-90000</v>
      </c>
      <c r="P64" s="51"/>
      <c r="Q64" s="51"/>
    </row>
    <row r="65" spans="1:17" ht="15">
      <c r="A65" s="54">
        <v>45818</v>
      </c>
      <c r="B65" s="51" t="s">
        <v>277</v>
      </c>
      <c r="C65" s="61" t="s">
        <v>196</v>
      </c>
      <c r="D65" s="86"/>
      <c r="E65" s="51" t="s">
        <v>197</v>
      </c>
      <c r="F65" s="69">
        <f>478325+(42500/2)</f>
        <v>499575</v>
      </c>
      <c r="G65" s="72">
        <v>550000</v>
      </c>
      <c r="H65" s="69">
        <v>550000</v>
      </c>
      <c r="I65" s="69">
        <v>0</v>
      </c>
      <c r="J65" s="69">
        <v>0</v>
      </c>
      <c r="K65" s="70">
        <f t="shared" si="79"/>
        <v>0</v>
      </c>
      <c r="L65" s="67">
        <f t="shared" si="80"/>
        <v>-50425</v>
      </c>
      <c r="M65" s="56" t="s">
        <v>88</v>
      </c>
      <c r="N65" s="54">
        <v>45828</v>
      </c>
      <c r="O65" s="55">
        <f t="shared" si="81"/>
        <v>50425</v>
      </c>
      <c r="P65" s="51"/>
      <c r="Q65" s="51"/>
    </row>
    <row r="66" spans="1:17" ht="15">
      <c r="A66" s="54">
        <v>45814</v>
      </c>
      <c r="B66" s="51" t="s">
        <v>278</v>
      </c>
      <c r="C66" s="62" t="s">
        <v>195</v>
      </c>
      <c r="D66" s="63"/>
      <c r="E66" s="51" t="s">
        <v>168</v>
      </c>
      <c r="F66" s="69">
        <v>670991.82999999996</v>
      </c>
      <c r="G66" s="67">
        <v>870000</v>
      </c>
      <c r="H66" s="69">
        <v>435000</v>
      </c>
      <c r="I66" s="69">
        <v>435000</v>
      </c>
      <c r="J66" s="69">
        <v>0</v>
      </c>
      <c r="K66" s="70">
        <f t="shared" si="79"/>
        <v>0</v>
      </c>
      <c r="L66" s="67">
        <f t="shared" si="80"/>
        <v>235991.82999999996</v>
      </c>
      <c r="M66" s="56" t="s">
        <v>88</v>
      </c>
      <c r="N66" s="54">
        <v>45891</v>
      </c>
      <c r="O66" s="55">
        <f t="shared" si="81"/>
        <v>199008.17000000004</v>
      </c>
    </row>
    <row r="67" spans="1:17" ht="28.5">
      <c r="A67" s="54">
        <v>45811</v>
      </c>
      <c r="B67" s="51" t="s">
        <v>192</v>
      </c>
      <c r="C67" s="61" t="s">
        <v>193</v>
      </c>
      <c r="D67" s="86"/>
      <c r="E67" s="51" t="s">
        <v>161</v>
      </c>
      <c r="F67" s="69">
        <f>288800+(42500/2)</f>
        <v>310050</v>
      </c>
      <c r="G67" s="67">
        <v>340000</v>
      </c>
      <c r="H67" s="69">
        <v>90000</v>
      </c>
      <c r="I67" s="69">
        <v>250000</v>
      </c>
      <c r="J67" s="69">
        <v>0</v>
      </c>
      <c r="K67" s="70">
        <f t="shared" si="79"/>
        <v>0</v>
      </c>
      <c r="L67" s="67">
        <f t="shared" si="80"/>
        <v>220050</v>
      </c>
      <c r="M67" s="56" t="s">
        <v>88</v>
      </c>
      <c r="N67" s="54">
        <v>45854</v>
      </c>
      <c r="O67" s="55">
        <f t="shared" si="81"/>
        <v>29950</v>
      </c>
    </row>
    <row r="68" spans="1:17" ht="15">
      <c r="A68" s="57">
        <v>45807</v>
      </c>
      <c r="B68" s="51" t="s">
        <v>282</v>
      </c>
      <c r="C68" s="51" t="s">
        <v>191</v>
      </c>
      <c r="E68" s="51" t="s">
        <v>188</v>
      </c>
      <c r="F68" s="71">
        <v>226104</v>
      </c>
      <c r="G68" s="67">
        <v>226104</v>
      </c>
      <c r="H68" s="71">
        <v>0</v>
      </c>
      <c r="I68" s="71">
        <v>226104</v>
      </c>
      <c r="J68" s="69">
        <v>0</v>
      </c>
      <c r="K68" s="70">
        <f t="shared" si="79"/>
        <v>0</v>
      </c>
      <c r="L68" s="67">
        <f t="shared" si="80"/>
        <v>226104</v>
      </c>
      <c r="M68" s="56" t="s">
        <v>88</v>
      </c>
      <c r="N68" s="57">
        <v>45800</v>
      </c>
      <c r="O68" s="55">
        <f t="shared" si="81"/>
        <v>0</v>
      </c>
    </row>
    <row r="69" spans="1:17" ht="28.5">
      <c r="A69" s="57">
        <v>45807</v>
      </c>
      <c r="B69" s="51" t="s">
        <v>124</v>
      </c>
      <c r="C69" s="58" t="s">
        <v>189</v>
      </c>
      <c r="D69" s="85"/>
      <c r="E69" s="51" t="s">
        <v>190</v>
      </c>
      <c r="F69" s="71">
        <v>163874.44</v>
      </c>
      <c r="G69" s="67">
        <v>330000</v>
      </c>
      <c r="H69" s="71">
        <v>165000</v>
      </c>
      <c r="I69" s="69">
        <v>165000</v>
      </c>
      <c r="J69" s="69">
        <v>0</v>
      </c>
      <c r="K69" s="70">
        <f t="shared" si="79"/>
        <v>0</v>
      </c>
      <c r="L69" s="67">
        <f t="shared" si="80"/>
        <v>-1125.5599999999977</v>
      </c>
      <c r="M69" s="56" t="s">
        <v>88</v>
      </c>
      <c r="N69" s="54">
        <v>45833</v>
      </c>
      <c r="O69" s="55">
        <f t="shared" si="81"/>
        <v>166125.56</v>
      </c>
    </row>
    <row r="70" spans="1:17" ht="28.5">
      <c r="A70" s="57">
        <v>45806</v>
      </c>
      <c r="B70" s="58" t="s">
        <v>283</v>
      </c>
      <c r="C70" s="58" t="s">
        <v>187</v>
      </c>
      <c r="D70" s="59"/>
      <c r="E70" s="51" t="s">
        <v>188</v>
      </c>
      <c r="F70" s="71">
        <v>184618</v>
      </c>
      <c r="G70" s="67">
        <v>350000</v>
      </c>
      <c r="H70" s="71">
        <v>175000</v>
      </c>
      <c r="I70" s="69">
        <v>175000</v>
      </c>
      <c r="J70" s="69">
        <v>0</v>
      </c>
      <c r="K70" s="70">
        <f t="shared" si="79"/>
        <v>0</v>
      </c>
      <c r="L70" s="67">
        <f t="shared" si="80"/>
        <v>9618</v>
      </c>
      <c r="M70" s="56" t="s">
        <v>88</v>
      </c>
      <c r="N70" s="54">
        <v>45833</v>
      </c>
      <c r="O70" s="55">
        <f t="shared" si="81"/>
        <v>165382</v>
      </c>
    </row>
    <row r="71" spans="1:17" ht="15">
      <c r="A71" s="57">
        <v>45806</v>
      </c>
      <c r="B71" s="51" t="s">
        <v>280</v>
      </c>
      <c r="C71" s="51" t="s">
        <v>185</v>
      </c>
      <c r="D71" s="60"/>
      <c r="E71" s="51" t="s">
        <v>186</v>
      </c>
      <c r="F71" s="71">
        <v>403526.66</v>
      </c>
      <c r="G71" s="67">
        <v>572000</v>
      </c>
      <c r="H71" s="71">
        <v>286000</v>
      </c>
      <c r="I71" s="69">
        <v>286000</v>
      </c>
      <c r="J71" s="69">
        <v>0</v>
      </c>
      <c r="K71" s="70">
        <f t="shared" si="79"/>
        <v>0</v>
      </c>
      <c r="L71" s="67">
        <f t="shared" si="80"/>
        <v>117526.65999999997</v>
      </c>
      <c r="M71" s="56" t="s">
        <v>88</v>
      </c>
      <c r="N71" s="54">
        <v>45892</v>
      </c>
      <c r="O71" s="55">
        <f t="shared" si="81"/>
        <v>168473.34000000003</v>
      </c>
    </row>
    <row r="72" spans="1:17" ht="15">
      <c r="A72" s="57">
        <v>45805</v>
      </c>
      <c r="B72" s="51" t="s">
        <v>206</v>
      </c>
      <c r="C72" s="51" t="s">
        <v>184</v>
      </c>
      <c r="D72" s="84"/>
      <c r="E72" s="51" t="s">
        <v>130</v>
      </c>
      <c r="F72" s="71">
        <v>401128.98</v>
      </c>
      <c r="G72" s="67">
        <v>500000</v>
      </c>
      <c r="H72" s="71">
        <v>240000</v>
      </c>
      <c r="I72" s="69">
        <v>260000</v>
      </c>
      <c r="J72" s="69">
        <v>0</v>
      </c>
      <c r="K72" s="70">
        <f t="shared" si="79"/>
        <v>0</v>
      </c>
      <c r="L72" s="67">
        <f t="shared" si="80"/>
        <v>161128.97999999998</v>
      </c>
      <c r="M72" s="56" t="s">
        <v>88</v>
      </c>
      <c r="N72" s="54">
        <v>45833</v>
      </c>
      <c r="O72" s="55">
        <f t="shared" si="81"/>
        <v>98871.020000000019</v>
      </c>
    </row>
    <row r="73" spans="1:17" ht="28.5">
      <c r="A73" s="54">
        <v>45804</v>
      </c>
      <c r="B73" s="51" t="s">
        <v>194</v>
      </c>
      <c r="C73" s="51" t="s">
        <v>180</v>
      </c>
      <c r="D73" s="84" t="s">
        <v>149</v>
      </c>
      <c r="E73" s="51" t="s">
        <v>67</v>
      </c>
      <c r="F73" s="69">
        <v>231327.11</v>
      </c>
      <c r="G73" s="67">
        <v>400000</v>
      </c>
      <c r="H73" s="69">
        <v>100000</v>
      </c>
      <c r="I73" s="69">
        <v>100000</v>
      </c>
      <c r="J73" s="69">
        <v>200000</v>
      </c>
      <c r="K73" s="70">
        <f t="shared" si="79"/>
        <v>0</v>
      </c>
      <c r="L73" s="67">
        <f t="shared" si="80"/>
        <v>131327.10999999999</v>
      </c>
      <c r="M73" s="56" t="s">
        <v>88</v>
      </c>
      <c r="N73" s="54">
        <v>45814</v>
      </c>
      <c r="O73" s="55">
        <f t="shared" si="81"/>
        <v>168672.89</v>
      </c>
      <c r="P73" s="51">
        <v>3003607773</v>
      </c>
      <c r="Q73" s="51" t="s">
        <v>183</v>
      </c>
    </row>
    <row r="74" spans="1:17" ht="15">
      <c r="A74" s="54">
        <v>45790</v>
      </c>
      <c r="B74" s="51" t="s">
        <v>41</v>
      </c>
      <c r="C74" s="61" t="s">
        <v>177</v>
      </c>
      <c r="D74" s="84" t="s">
        <v>178</v>
      </c>
      <c r="E74" s="51" t="s">
        <v>179</v>
      </c>
      <c r="F74" s="69">
        <v>329389</v>
      </c>
      <c r="G74" s="67">
        <v>480000</v>
      </c>
      <c r="H74" s="69">
        <v>240000</v>
      </c>
      <c r="I74" s="69">
        <v>240000</v>
      </c>
      <c r="J74" s="69">
        <v>0</v>
      </c>
      <c r="K74" s="70">
        <f t="shared" si="79"/>
        <v>0</v>
      </c>
      <c r="L74" s="67">
        <f t="shared" si="80"/>
        <v>89389</v>
      </c>
      <c r="M74" s="56" t="s">
        <v>88</v>
      </c>
      <c r="N74" s="54">
        <v>45821</v>
      </c>
      <c r="O74" s="55">
        <f t="shared" si="81"/>
        <v>150611</v>
      </c>
      <c r="P74" s="51"/>
      <c r="Q74" s="51"/>
    </row>
    <row r="75" spans="1:17" ht="15">
      <c r="A75" s="54">
        <v>45783</v>
      </c>
      <c r="B75" s="51" t="s">
        <v>174</v>
      </c>
      <c r="C75" s="51" t="s">
        <v>175</v>
      </c>
      <c r="D75" s="86" t="s">
        <v>87</v>
      </c>
      <c r="E75" s="51" t="s">
        <v>161</v>
      </c>
      <c r="F75" s="69">
        <v>95000</v>
      </c>
      <c r="G75" s="72">
        <v>210000</v>
      </c>
      <c r="H75" s="69">
        <v>210000</v>
      </c>
      <c r="I75" s="69">
        <v>0</v>
      </c>
      <c r="J75" s="69">
        <v>0</v>
      </c>
      <c r="K75" s="70">
        <f t="shared" si="79"/>
        <v>0</v>
      </c>
      <c r="L75" s="67">
        <f t="shared" si="80"/>
        <v>-115000</v>
      </c>
      <c r="M75" s="56" t="s">
        <v>88</v>
      </c>
      <c r="N75" s="54">
        <v>45785</v>
      </c>
      <c r="O75" s="55">
        <f t="shared" si="81"/>
        <v>115000</v>
      </c>
      <c r="P75" s="51"/>
      <c r="Q75" s="51"/>
    </row>
    <row r="76" spans="1:17" ht="15">
      <c r="A76" s="54">
        <v>45783</v>
      </c>
      <c r="B76" s="51" t="s">
        <v>38</v>
      </c>
      <c r="C76" s="61" t="s">
        <v>171</v>
      </c>
      <c r="D76" s="86"/>
      <c r="E76" s="51" t="s">
        <v>172</v>
      </c>
      <c r="F76" s="69">
        <v>526886</v>
      </c>
      <c r="G76" s="72">
        <v>680000</v>
      </c>
      <c r="H76" s="69">
        <v>340000</v>
      </c>
      <c r="I76" s="69">
        <v>340000</v>
      </c>
      <c r="J76" s="69">
        <v>0</v>
      </c>
      <c r="K76" s="70">
        <f t="shared" si="79"/>
        <v>0</v>
      </c>
      <c r="L76" s="67">
        <f t="shared" si="80"/>
        <v>186886</v>
      </c>
      <c r="M76" s="56" t="s">
        <v>88</v>
      </c>
      <c r="N76" s="54">
        <v>45806</v>
      </c>
      <c r="O76" s="55">
        <f t="shared" si="81"/>
        <v>153114</v>
      </c>
      <c r="P76" s="51"/>
      <c r="Q76" s="51"/>
    </row>
    <row r="77" spans="1:17" ht="28.5">
      <c r="A77" s="54">
        <v>45782</v>
      </c>
      <c r="B77" s="51" t="s">
        <v>286</v>
      </c>
      <c r="C77" s="62" t="s">
        <v>170</v>
      </c>
      <c r="D77" s="63" t="s">
        <v>176</v>
      </c>
      <c r="E77" s="51" t="s">
        <v>173</v>
      </c>
      <c r="F77" s="69">
        <v>295156</v>
      </c>
      <c r="G77" s="67">
        <v>440000</v>
      </c>
      <c r="H77" s="69">
        <v>220000</v>
      </c>
      <c r="I77" s="69">
        <v>100000</v>
      </c>
      <c r="J77" s="69">
        <v>120000</v>
      </c>
      <c r="K77" s="70">
        <f t="shared" si="79"/>
        <v>0</v>
      </c>
      <c r="L77" s="67">
        <f t="shared" si="80"/>
        <v>75156</v>
      </c>
      <c r="M77" s="56" t="s">
        <v>88</v>
      </c>
      <c r="N77" s="54">
        <v>45808</v>
      </c>
      <c r="O77" s="55">
        <f t="shared" si="81"/>
        <v>144844</v>
      </c>
    </row>
    <row r="78" spans="1:17" ht="15">
      <c r="A78" s="54">
        <v>45779</v>
      </c>
      <c r="B78" s="51" t="s">
        <v>120</v>
      </c>
      <c r="C78" s="61" t="s">
        <v>169</v>
      </c>
      <c r="D78" s="86" t="s">
        <v>87</v>
      </c>
      <c r="E78" s="51" t="s">
        <v>161</v>
      </c>
      <c r="F78" s="69">
        <v>125000</v>
      </c>
      <c r="G78" s="67">
        <v>230000</v>
      </c>
      <c r="H78" s="69">
        <v>230000</v>
      </c>
      <c r="I78" s="69">
        <v>0</v>
      </c>
      <c r="J78" s="69">
        <v>0</v>
      </c>
      <c r="K78" s="70">
        <f t="shared" si="79"/>
        <v>0</v>
      </c>
      <c r="L78" s="67">
        <f t="shared" si="80"/>
        <v>-105000</v>
      </c>
      <c r="M78" s="56" t="s">
        <v>88</v>
      </c>
      <c r="N78" s="54">
        <v>45781</v>
      </c>
      <c r="O78" s="55">
        <f t="shared" si="81"/>
        <v>105000</v>
      </c>
    </row>
    <row r="79" spans="1:17" ht="15">
      <c r="A79" s="57">
        <v>45763</v>
      </c>
      <c r="B79" s="51" t="s">
        <v>41</v>
      </c>
      <c r="C79" s="51" t="s">
        <v>167</v>
      </c>
      <c r="D79" s="84">
        <v>448471832831</v>
      </c>
      <c r="E79" s="51" t="s">
        <v>168</v>
      </c>
      <c r="F79" s="71">
        <v>199175.4</v>
      </c>
      <c r="G79" s="67">
        <v>380000</v>
      </c>
      <c r="H79" s="71">
        <v>200000</v>
      </c>
      <c r="I79" s="69">
        <v>180000</v>
      </c>
      <c r="J79" s="69">
        <v>0</v>
      </c>
      <c r="K79" s="70">
        <f t="shared" si="79"/>
        <v>0</v>
      </c>
      <c r="L79" s="67">
        <f t="shared" si="80"/>
        <v>-824.60000000000582</v>
      </c>
      <c r="M79" s="56" t="s">
        <v>88</v>
      </c>
      <c r="N79" s="54">
        <v>45801</v>
      </c>
      <c r="O79" s="55">
        <f t="shared" si="81"/>
        <v>180824.6</v>
      </c>
    </row>
    <row r="80" spans="1:17" ht="15">
      <c r="A80" s="57">
        <v>45762</v>
      </c>
      <c r="B80" s="51" t="s">
        <v>206</v>
      </c>
      <c r="C80" s="51" t="s">
        <v>159</v>
      </c>
      <c r="D80" s="60"/>
      <c r="E80" s="51" t="s">
        <v>46</v>
      </c>
      <c r="F80" s="71">
        <v>303966.65999999997</v>
      </c>
      <c r="G80" s="67">
        <v>320000</v>
      </c>
      <c r="H80" s="71">
        <v>320000</v>
      </c>
      <c r="I80" s="69">
        <v>0</v>
      </c>
      <c r="J80" s="69"/>
      <c r="K80" s="70">
        <f t="shared" si="79"/>
        <v>0</v>
      </c>
      <c r="L80" s="67">
        <f t="shared" si="80"/>
        <v>-16033.340000000026</v>
      </c>
      <c r="M80" s="56" t="s">
        <v>88</v>
      </c>
      <c r="N80" s="54">
        <v>45768</v>
      </c>
      <c r="O80" s="55">
        <f t="shared" si="81"/>
        <v>16033.340000000026</v>
      </c>
    </row>
    <row r="81" spans="1:15" ht="15">
      <c r="A81" s="57">
        <v>45758</v>
      </c>
      <c r="B81" s="51" t="s">
        <v>279</v>
      </c>
      <c r="C81" s="51" t="s">
        <v>127</v>
      </c>
      <c r="D81" s="60"/>
      <c r="E81" s="51" t="s">
        <v>161</v>
      </c>
      <c r="F81" s="71">
        <v>219575</v>
      </c>
      <c r="G81" s="67">
        <v>240000</v>
      </c>
      <c r="H81" s="71">
        <v>40000</v>
      </c>
      <c r="I81" s="69">
        <v>200000</v>
      </c>
      <c r="J81" s="69">
        <v>0</v>
      </c>
      <c r="K81" s="70">
        <f t="shared" si="79"/>
        <v>0</v>
      </c>
      <c r="L81" s="67">
        <f t="shared" si="80"/>
        <v>179575</v>
      </c>
      <c r="M81" s="56" t="s">
        <v>88</v>
      </c>
      <c r="N81" s="54">
        <v>45758</v>
      </c>
      <c r="O81" s="55">
        <f t="shared" si="81"/>
        <v>20425</v>
      </c>
    </row>
    <row r="82" spans="1:15" ht="15">
      <c r="A82" s="57">
        <v>45757</v>
      </c>
      <c r="B82" s="51" t="s">
        <v>165</v>
      </c>
      <c r="C82" s="51" t="s">
        <v>159</v>
      </c>
      <c r="D82" s="84"/>
      <c r="E82" s="51" t="s">
        <v>166</v>
      </c>
      <c r="F82" s="71">
        <v>212486</v>
      </c>
      <c r="G82" s="67">
        <v>275000</v>
      </c>
      <c r="H82" s="71">
        <v>150000</v>
      </c>
      <c r="I82" s="69">
        <v>125000</v>
      </c>
      <c r="J82" s="69">
        <v>0</v>
      </c>
      <c r="K82" s="70">
        <f t="shared" si="79"/>
        <v>0</v>
      </c>
      <c r="L82" s="67">
        <f t="shared" si="80"/>
        <v>62486</v>
      </c>
      <c r="M82" s="56" t="s">
        <v>88</v>
      </c>
      <c r="N82" s="54">
        <v>45716</v>
      </c>
      <c r="O82" s="55">
        <f t="shared" si="81"/>
        <v>62514</v>
      </c>
    </row>
    <row r="83" spans="1:15" ht="15">
      <c r="A83" s="54">
        <v>45756</v>
      </c>
      <c r="B83" s="51" t="s">
        <v>41</v>
      </c>
      <c r="C83" s="51" t="s">
        <v>159</v>
      </c>
      <c r="D83" s="84"/>
      <c r="E83" s="51" t="s">
        <v>91</v>
      </c>
      <c r="F83" s="69">
        <v>244814</v>
      </c>
      <c r="G83" s="67">
        <v>350000</v>
      </c>
      <c r="H83" s="69">
        <v>200000</v>
      </c>
      <c r="I83" s="69">
        <v>150000</v>
      </c>
      <c r="J83" s="69">
        <v>0</v>
      </c>
      <c r="K83" s="70">
        <f t="shared" si="79"/>
        <v>0</v>
      </c>
      <c r="L83" s="67">
        <f t="shared" si="80"/>
        <v>44814</v>
      </c>
      <c r="M83" s="56" t="s">
        <v>88</v>
      </c>
      <c r="N83" s="54">
        <v>45716</v>
      </c>
      <c r="O83" s="55">
        <f t="shared" si="81"/>
        <v>105186</v>
      </c>
    </row>
    <row r="84" spans="1:15" ht="15">
      <c r="A84" s="54">
        <v>45751</v>
      </c>
      <c r="B84" s="51" t="s">
        <v>279</v>
      </c>
      <c r="C84" s="51" t="s">
        <v>164</v>
      </c>
      <c r="D84" s="86"/>
      <c r="E84" s="51" t="s">
        <v>161</v>
      </c>
      <c r="F84" s="69">
        <v>486000</v>
      </c>
      <c r="G84" s="72">
        <v>580000</v>
      </c>
      <c r="H84" s="69">
        <f>210000+70000+110000+7500</f>
        <v>397500</v>
      </c>
      <c r="I84" s="69">
        <v>182500</v>
      </c>
      <c r="J84" s="69">
        <v>0</v>
      </c>
      <c r="K84" s="70">
        <f t="shared" si="79"/>
        <v>0</v>
      </c>
      <c r="L84" s="67">
        <f t="shared" si="80"/>
        <v>88500</v>
      </c>
      <c r="M84" s="56" t="s">
        <v>88</v>
      </c>
      <c r="N84" s="54">
        <v>45758</v>
      </c>
      <c r="O84" s="55">
        <f t="shared" si="81"/>
        <v>94000</v>
      </c>
    </row>
    <row r="85" spans="1:15" ht="15">
      <c r="A85" s="54">
        <v>45751</v>
      </c>
      <c r="B85" s="51" t="s">
        <v>162</v>
      </c>
      <c r="C85" s="61" t="s">
        <v>163</v>
      </c>
      <c r="D85" s="84"/>
      <c r="E85" s="51" t="s">
        <v>161</v>
      </c>
      <c r="F85" s="69">
        <v>110437</v>
      </c>
      <c r="G85" s="67">
        <v>175000</v>
      </c>
      <c r="H85" s="69">
        <v>175000</v>
      </c>
      <c r="I85" s="69">
        <v>0</v>
      </c>
      <c r="J85" s="69">
        <v>0</v>
      </c>
      <c r="K85" s="70">
        <f t="shared" si="79"/>
        <v>0</v>
      </c>
      <c r="L85" s="67">
        <f t="shared" si="80"/>
        <v>-64563</v>
      </c>
      <c r="M85" s="56" t="s">
        <v>88</v>
      </c>
      <c r="N85" s="54">
        <v>45772</v>
      </c>
      <c r="O85" s="55">
        <f t="shared" si="81"/>
        <v>64563</v>
      </c>
    </row>
    <row r="86" spans="1:15" ht="15">
      <c r="A86" s="54">
        <v>45748</v>
      </c>
      <c r="B86" s="51" t="s">
        <v>206</v>
      </c>
      <c r="C86" s="51" t="s">
        <v>159</v>
      </c>
      <c r="D86" s="86"/>
      <c r="E86" s="51" t="s">
        <v>72</v>
      </c>
      <c r="F86" s="69">
        <v>334799</v>
      </c>
      <c r="G86" s="67">
        <v>400000</v>
      </c>
      <c r="H86" s="69">
        <v>200000</v>
      </c>
      <c r="I86" s="69">
        <v>200000</v>
      </c>
      <c r="J86" s="69">
        <v>0</v>
      </c>
      <c r="K86" s="70">
        <f t="shared" si="79"/>
        <v>0</v>
      </c>
      <c r="L86" s="67">
        <f t="shared" si="80"/>
        <v>134799</v>
      </c>
      <c r="M86" s="56" t="s">
        <v>88</v>
      </c>
      <c r="N86" s="54">
        <v>45761</v>
      </c>
      <c r="O86" s="55">
        <f t="shared" si="81"/>
        <v>65201</v>
      </c>
    </row>
    <row r="87" spans="1:15" ht="28.5">
      <c r="A87" s="54">
        <v>45748</v>
      </c>
      <c r="B87" s="51" t="s">
        <v>69</v>
      </c>
      <c r="C87" s="61" t="s">
        <v>158</v>
      </c>
      <c r="D87" s="86"/>
      <c r="E87" s="51"/>
      <c r="F87" s="69">
        <v>317466.2</v>
      </c>
      <c r="G87" s="67">
        <v>450000</v>
      </c>
      <c r="H87" s="69">
        <v>50000</v>
      </c>
      <c r="I87" s="69">
        <v>400000</v>
      </c>
      <c r="J87" s="69">
        <v>0</v>
      </c>
      <c r="K87" s="70">
        <f t="shared" si="79"/>
        <v>0</v>
      </c>
      <c r="L87" s="67">
        <f t="shared" si="80"/>
        <v>267466.2</v>
      </c>
      <c r="M87" s="56" t="s">
        <v>88</v>
      </c>
      <c r="N87" s="54">
        <v>45808</v>
      </c>
      <c r="O87" s="55">
        <f t="shared" si="81"/>
        <v>132533.79999999999</v>
      </c>
    </row>
    <row r="88" spans="1:15" ht="15">
      <c r="A88" s="54">
        <v>45736</v>
      </c>
      <c r="B88" s="51" t="s">
        <v>206</v>
      </c>
      <c r="C88" s="51" t="s">
        <v>155</v>
      </c>
      <c r="D88" s="86" t="s">
        <v>157</v>
      </c>
      <c r="E88" s="51" t="s">
        <v>156</v>
      </c>
      <c r="F88" s="69">
        <v>332445.55</v>
      </c>
      <c r="G88" s="72">
        <v>420000</v>
      </c>
      <c r="H88" s="69">
        <v>270000</v>
      </c>
      <c r="I88" s="69">
        <v>100000</v>
      </c>
      <c r="J88" s="69">
        <v>50000</v>
      </c>
      <c r="K88" s="70">
        <f t="shared" si="79"/>
        <v>0</v>
      </c>
      <c r="L88" s="67">
        <f t="shared" si="80"/>
        <v>62445.549999999988</v>
      </c>
      <c r="M88" s="56" t="s">
        <v>88</v>
      </c>
      <c r="N88" s="54">
        <v>45791</v>
      </c>
      <c r="O88" s="55">
        <f t="shared" si="81"/>
        <v>87554.450000000012</v>
      </c>
    </row>
    <row r="89" spans="1:15" ht="15">
      <c r="A89" s="54">
        <v>45724</v>
      </c>
      <c r="B89" s="51" t="s">
        <v>146</v>
      </c>
      <c r="C89" s="51" t="s">
        <v>147</v>
      </c>
      <c r="D89" s="86" t="s">
        <v>149</v>
      </c>
      <c r="E89" s="51" t="s">
        <v>148</v>
      </c>
      <c r="F89" s="69">
        <v>389500</v>
      </c>
      <c r="G89" s="72">
        <v>450000</v>
      </c>
      <c r="H89" s="69">
        <v>250000</v>
      </c>
      <c r="I89" s="69">
        <v>200000</v>
      </c>
      <c r="J89" s="69">
        <v>0</v>
      </c>
      <c r="K89" s="70">
        <f t="shared" si="79"/>
        <v>0</v>
      </c>
      <c r="L89" s="67">
        <f t="shared" si="80"/>
        <v>139500</v>
      </c>
      <c r="M89" s="56" t="s">
        <v>88</v>
      </c>
      <c r="N89" s="54">
        <v>45745</v>
      </c>
      <c r="O89" s="55">
        <f t="shared" si="81"/>
        <v>60500</v>
      </c>
    </row>
    <row r="90" spans="1:15" ht="15">
      <c r="A90" s="54">
        <v>45722</v>
      </c>
      <c r="B90" s="58" t="s">
        <v>285</v>
      </c>
      <c r="C90" s="51" t="s">
        <v>144</v>
      </c>
      <c r="D90" s="86" t="s">
        <v>150</v>
      </c>
      <c r="E90" s="51" t="s">
        <v>91</v>
      </c>
      <c r="F90" s="69">
        <v>264865.45</v>
      </c>
      <c r="G90" s="67">
        <v>270000</v>
      </c>
      <c r="H90" s="69">
        <v>0</v>
      </c>
      <c r="I90" s="69">
        <v>270000</v>
      </c>
      <c r="J90" s="69">
        <v>0</v>
      </c>
      <c r="K90" s="70">
        <f t="shared" si="79"/>
        <v>0</v>
      </c>
      <c r="L90" s="67">
        <f t="shared" si="80"/>
        <v>264865.45</v>
      </c>
      <c r="M90" s="56" t="s">
        <v>88</v>
      </c>
      <c r="N90" s="54">
        <v>45736</v>
      </c>
      <c r="O90" s="55">
        <f t="shared" si="81"/>
        <v>5134.5499999999884</v>
      </c>
    </row>
    <row r="91" spans="1:15" ht="15">
      <c r="A91" s="57">
        <v>45719</v>
      </c>
      <c r="B91" s="51" t="s">
        <v>287</v>
      </c>
      <c r="C91" s="51" t="s">
        <v>264</v>
      </c>
      <c r="D91" s="84" t="s">
        <v>133</v>
      </c>
      <c r="E91" s="51" t="s">
        <v>42</v>
      </c>
      <c r="F91" s="71">
        <f>744610/2</f>
        <v>372305</v>
      </c>
      <c r="G91" s="67">
        <v>545000</v>
      </c>
      <c r="H91" s="71">
        <f>532500/2</f>
        <v>266250</v>
      </c>
      <c r="I91" s="69">
        <v>266250</v>
      </c>
      <c r="J91" s="69">
        <v>12500</v>
      </c>
      <c r="K91" s="70">
        <f t="shared" si="79"/>
        <v>0</v>
      </c>
      <c r="L91" s="67">
        <f t="shared" si="80"/>
        <v>106055</v>
      </c>
      <c r="M91" s="56" t="s">
        <v>88</v>
      </c>
      <c r="N91" s="54">
        <v>45720</v>
      </c>
      <c r="O91" s="55">
        <f t="shared" si="81"/>
        <v>172695</v>
      </c>
    </row>
    <row r="92" spans="1:15" ht="15">
      <c r="A92" s="57">
        <v>45719</v>
      </c>
      <c r="B92" s="51" t="s">
        <v>287</v>
      </c>
      <c r="C92" s="51" t="s">
        <v>265</v>
      </c>
      <c r="D92" s="60" t="s">
        <v>133</v>
      </c>
      <c r="E92" s="51" t="s">
        <v>42</v>
      </c>
      <c r="F92" s="71">
        <f>744610/2</f>
        <v>372305</v>
      </c>
      <c r="G92" s="67">
        <v>520000</v>
      </c>
      <c r="H92" s="71">
        <f>532500/2</f>
        <v>266250</v>
      </c>
      <c r="I92" s="69">
        <v>253750</v>
      </c>
      <c r="J92" s="69">
        <v>0</v>
      </c>
      <c r="K92" s="70">
        <f t="shared" si="79"/>
        <v>0</v>
      </c>
      <c r="L92" s="67">
        <f t="shared" si="80"/>
        <v>106055</v>
      </c>
      <c r="M92" s="56" t="s">
        <v>88</v>
      </c>
      <c r="N92" s="54">
        <v>45720</v>
      </c>
      <c r="O92" s="55">
        <f t="shared" si="81"/>
        <v>147695</v>
      </c>
    </row>
    <row r="93" spans="1:15" ht="15">
      <c r="A93" s="54">
        <v>45718</v>
      </c>
      <c r="B93" s="51" t="s">
        <v>140</v>
      </c>
      <c r="C93" s="61" t="s">
        <v>141</v>
      </c>
      <c r="D93" s="86" t="s">
        <v>143</v>
      </c>
      <c r="E93" s="51" t="s">
        <v>30</v>
      </c>
      <c r="F93" s="69">
        <v>551064.71</v>
      </c>
      <c r="G93" s="67">
        <v>695000</v>
      </c>
      <c r="H93" s="69">
        <v>500000</v>
      </c>
      <c r="I93" s="69">
        <v>195000</v>
      </c>
      <c r="J93" s="69">
        <v>0</v>
      </c>
      <c r="K93" s="70">
        <f t="shared" ref="K93:K124" si="82">G93-SUM(H93,I93,J93)</f>
        <v>0</v>
      </c>
      <c r="L93" s="67">
        <f t="shared" ref="L93:L121" si="83">F93-H93</f>
        <v>51064.709999999963</v>
      </c>
      <c r="M93" s="56" t="s">
        <v>88</v>
      </c>
      <c r="N93" s="54">
        <v>45738</v>
      </c>
      <c r="O93" s="55">
        <f t="shared" ref="O93:O124" si="84">G93-F93</f>
        <v>143935.29000000004</v>
      </c>
    </row>
    <row r="94" spans="1:15" ht="15">
      <c r="A94" s="57">
        <v>45716</v>
      </c>
      <c r="B94" s="51" t="s">
        <v>273</v>
      </c>
      <c r="C94" s="51" t="s">
        <v>138</v>
      </c>
      <c r="D94" s="84" t="s">
        <v>142</v>
      </c>
      <c r="E94" s="51" t="s">
        <v>139</v>
      </c>
      <c r="F94" s="71">
        <v>365783.37</v>
      </c>
      <c r="G94" s="67">
        <v>505000</v>
      </c>
      <c r="H94" s="71">
        <v>252500</v>
      </c>
      <c r="I94" s="69">
        <v>252500</v>
      </c>
      <c r="J94" s="69">
        <v>0</v>
      </c>
      <c r="K94" s="70">
        <f t="shared" si="82"/>
        <v>0</v>
      </c>
      <c r="L94" s="67">
        <f t="shared" si="83"/>
        <v>113283.37</v>
      </c>
      <c r="M94" s="56" t="s">
        <v>88</v>
      </c>
      <c r="N94" s="54">
        <v>45743</v>
      </c>
      <c r="O94" s="55">
        <f t="shared" si="84"/>
        <v>139216.63</v>
      </c>
    </row>
    <row r="95" spans="1:15" ht="15">
      <c r="A95" s="57">
        <v>45713</v>
      </c>
      <c r="B95" s="51" t="s">
        <v>206</v>
      </c>
      <c r="C95" s="51" t="s">
        <v>136</v>
      </c>
      <c r="D95" s="60" t="s">
        <v>137</v>
      </c>
      <c r="E95" s="51" t="s">
        <v>130</v>
      </c>
      <c r="F95" s="71">
        <v>396046.27</v>
      </c>
      <c r="G95" s="67">
        <v>470000</v>
      </c>
      <c r="H95" s="71">
        <v>470000</v>
      </c>
      <c r="I95" s="69">
        <v>0</v>
      </c>
      <c r="J95" s="69">
        <v>0</v>
      </c>
      <c r="K95" s="70">
        <f t="shared" si="82"/>
        <v>0</v>
      </c>
      <c r="L95" s="67">
        <f t="shared" si="83"/>
        <v>-73953.729999999981</v>
      </c>
      <c r="M95" s="56" t="s">
        <v>88</v>
      </c>
      <c r="N95" s="54">
        <v>45736</v>
      </c>
      <c r="O95" s="55">
        <f t="shared" si="84"/>
        <v>73953.729999999981</v>
      </c>
    </row>
    <row r="96" spans="1:15" ht="15">
      <c r="A96" s="54">
        <v>45700</v>
      </c>
      <c r="B96" s="51" t="s">
        <v>276</v>
      </c>
      <c r="C96" s="51" t="s">
        <v>129</v>
      </c>
      <c r="D96" s="84" t="s">
        <v>134</v>
      </c>
      <c r="E96" s="51" t="s">
        <v>130</v>
      </c>
      <c r="F96" s="69">
        <v>182021.36</v>
      </c>
      <c r="G96" s="67">
        <v>290000</v>
      </c>
      <c r="H96" s="69">
        <v>145000</v>
      </c>
      <c r="I96" s="69">
        <v>145000</v>
      </c>
      <c r="J96" s="69">
        <v>0</v>
      </c>
      <c r="K96" s="70">
        <f t="shared" si="82"/>
        <v>0</v>
      </c>
      <c r="L96" s="67">
        <f t="shared" si="83"/>
        <v>37021.359999999986</v>
      </c>
      <c r="M96" s="56" t="s">
        <v>88</v>
      </c>
      <c r="N96" s="54">
        <v>45718</v>
      </c>
      <c r="O96" s="55">
        <f t="shared" si="84"/>
        <v>107978.64000000001</v>
      </c>
    </row>
    <row r="97" spans="1:15" ht="15">
      <c r="A97" s="54">
        <v>45700</v>
      </c>
      <c r="B97" s="51" t="s">
        <v>41</v>
      </c>
      <c r="C97" s="51" t="s">
        <v>131</v>
      </c>
      <c r="D97" s="84" t="s">
        <v>134</v>
      </c>
      <c r="E97" s="51" t="s">
        <v>42</v>
      </c>
      <c r="F97" s="69">
        <v>352591.73</v>
      </c>
      <c r="G97" s="67">
        <v>480000</v>
      </c>
      <c r="H97" s="69">
        <v>0</v>
      </c>
      <c r="I97" s="69">
        <v>480000</v>
      </c>
      <c r="J97" s="69">
        <v>0</v>
      </c>
      <c r="K97" s="70">
        <f t="shared" si="82"/>
        <v>0</v>
      </c>
      <c r="L97" s="67">
        <f t="shared" si="83"/>
        <v>352591.73</v>
      </c>
      <c r="M97" s="56" t="s">
        <v>88</v>
      </c>
      <c r="N97" s="54">
        <v>45720</v>
      </c>
      <c r="O97" s="55">
        <f t="shared" si="84"/>
        <v>127408.27000000002</v>
      </c>
    </row>
    <row r="98" spans="1:15" ht="28.5">
      <c r="A98" s="54">
        <v>45698</v>
      </c>
      <c r="B98" s="51" t="s">
        <v>124</v>
      </c>
      <c r="C98" s="51" t="s">
        <v>125</v>
      </c>
      <c r="D98" s="86" t="s">
        <v>132</v>
      </c>
      <c r="E98" s="51" t="s">
        <v>126</v>
      </c>
      <c r="F98" s="69">
        <v>203860.69</v>
      </c>
      <c r="G98" s="67">
        <v>320000</v>
      </c>
      <c r="H98" s="69">
        <v>160000</v>
      </c>
      <c r="I98" s="69">
        <v>160000</v>
      </c>
      <c r="J98" s="69">
        <v>0</v>
      </c>
      <c r="K98" s="70">
        <f t="shared" si="82"/>
        <v>0</v>
      </c>
      <c r="L98" s="67">
        <f t="shared" si="83"/>
        <v>43860.69</v>
      </c>
      <c r="M98" s="56" t="s">
        <v>88</v>
      </c>
      <c r="N98" s="54">
        <v>45726</v>
      </c>
      <c r="O98" s="55">
        <f t="shared" si="84"/>
        <v>116139.31</v>
      </c>
    </row>
    <row r="99" spans="1:15" ht="15">
      <c r="A99" s="54">
        <v>45698</v>
      </c>
      <c r="B99" s="51" t="s">
        <v>282</v>
      </c>
      <c r="C99" s="51" t="s">
        <v>127</v>
      </c>
      <c r="D99" s="86" t="s">
        <v>132</v>
      </c>
      <c r="E99" s="51" t="s">
        <v>113</v>
      </c>
      <c r="F99" s="69">
        <v>112000</v>
      </c>
      <c r="G99" s="72">
        <v>120000</v>
      </c>
      <c r="H99" s="69">
        <v>0</v>
      </c>
      <c r="I99" s="69">
        <v>120000</v>
      </c>
      <c r="J99" s="69">
        <v>0</v>
      </c>
      <c r="K99" s="70">
        <f t="shared" si="82"/>
        <v>0</v>
      </c>
      <c r="L99" s="67">
        <f t="shared" si="83"/>
        <v>112000</v>
      </c>
      <c r="M99" s="56" t="s">
        <v>88</v>
      </c>
      <c r="N99" s="54">
        <v>45724</v>
      </c>
      <c r="O99" s="55">
        <f t="shared" si="84"/>
        <v>8000</v>
      </c>
    </row>
    <row r="100" spans="1:15" ht="15">
      <c r="A100" s="54">
        <v>45698</v>
      </c>
      <c r="B100" s="51" t="s">
        <v>282</v>
      </c>
      <c r="C100" s="51" t="s">
        <v>128</v>
      </c>
      <c r="D100" s="86" t="s">
        <v>132</v>
      </c>
      <c r="E100" s="51" t="s">
        <v>113</v>
      </c>
      <c r="F100" s="69">
        <v>105000</v>
      </c>
      <c r="G100" s="72">
        <v>110000</v>
      </c>
      <c r="H100" s="69">
        <v>0</v>
      </c>
      <c r="I100" s="69">
        <v>110000</v>
      </c>
      <c r="J100" s="69">
        <v>0</v>
      </c>
      <c r="K100" s="70">
        <f t="shared" si="82"/>
        <v>0</v>
      </c>
      <c r="L100" s="67">
        <f t="shared" si="83"/>
        <v>105000</v>
      </c>
      <c r="M100" s="56" t="s">
        <v>88</v>
      </c>
      <c r="N100" s="54">
        <v>45724</v>
      </c>
      <c r="O100" s="55">
        <f t="shared" si="84"/>
        <v>5000</v>
      </c>
    </row>
    <row r="101" spans="1:15" ht="28.5">
      <c r="A101" s="54">
        <v>45695</v>
      </c>
      <c r="B101" s="51" t="s">
        <v>120</v>
      </c>
      <c r="C101" s="51" t="s">
        <v>122</v>
      </c>
      <c r="D101" s="86" t="s">
        <v>132</v>
      </c>
      <c r="E101" s="51" t="s">
        <v>121</v>
      </c>
      <c r="F101" s="69">
        <v>124040.9</v>
      </c>
      <c r="G101" s="67">
        <v>245000</v>
      </c>
      <c r="H101" s="69">
        <v>122500</v>
      </c>
      <c r="I101" s="69">
        <v>122500</v>
      </c>
      <c r="J101" s="69">
        <v>0</v>
      </c>
      <c r="K101" s="70">
        <f t="shared" si="82"/>
        <v>0</v>
      </c>
      <c r="L101" s="67">
        <f t="shared" si="83"/>
        <v>1540.8999999999942</v>
      </c>
      <c r="M101" s="56" t="s">
        <v>88</v>
      </c>
      <c r="N101" s="54">
        <v>45724</v>
      </c>
      <c r="O101" s="55">
        <f t="shared" si="84"/>
        <v>120959.1</v>
      </c>
    </row>
    <row r="102" spans="1:15" ht="28.5">
      <c r="A102" s="57">
        <v>45680</v>
      </c>
      <c r="B102" s="51" t="s">
        <v>117</v>
      </c>
      <c r="C102" s="51" t="s">
        <v>118</v>
      </c>
      <c r="D102" s="87" t="s">
        <v>87</v>
      </c>
      <c r="E102" s="51" t="s">
        <v>119</v>
      </c>
      <c r="F102" s="71">
        <v>100000</v>
      </c>
      <c r="G102" s="67">
        <v>190000</v>
      </c>
      <c r="H102" s="71">
        <v>95000</v>
      </c>
      <c r="I102" s="71">
        <v>95000</v>
      </c>
      <c r="K102" s="70">
        <f t="shared" si="82"/>
        <v>0</v>
      </c>
      <c r="L102" s="67">
        <f t="shared" si="83"/>
        <v>5000</v>
      </c>
      <c r="M102" s="56" t="s">
        <v>88</v>
      </c>
      <c r="N102" s="54">
        <v>45688</v>
      </c>
      <c r="O102" s="56">
        <f t="shared" si="84"/>
        <v>90000</v>
      </c>
    </row>
    <row r="103" spans="1:15" ht="28.5">
      <c r="A103" s="54">
        <v>45674</v>
      </c>
      <c r="B103" s="51" t="s">
        <v>111</v>
      </c>
      <c r="C103" s="51" t="s">
        <v>112</v>
      </c>
      <c r="D103" s="88" t="s">
        <v>115</v>
      </c>
      <c r="E103" s="51" t="s">
        <v>113</v>
      </c>
      <c r="F103" s="69">
        <v>165323.23000000001</v>
      </c>
      <c r="G103" s="67">
        <v>240000</v>
      </c>
      <c r="H103" s="69">
        <v>100000</v>
      </c>
      <c r="I103" s="69">
        <v>140000</v>
      </c>
      <c r="J103" s="69"/>
      <c r="K103" s="70">
        <f t="shared" si="82"/>
        <v>0</v>
      </c>
      <c r="L103" s="67">
        <f t="shared" si="83"/>
        <v>65323.23000000001</v>
      </c>
      <c r="M103" s="56" t="s">
        <v>88</v>
      </c>
      <c r="N103" s="54">
        <v>45699</v>
      </c>
      <c r="O103" s="56">
        <f t="shared" si="84"/>
        <v>74676.76999999999</v>
      </c>
    </row>
    <row r="104" spans="1:15" ht="28.5">
      <c r="A104" s="54">
        <v>45673</v>
      </c>
      <c r="B104" s="51" t="s">
        <v>41</v>
      </c>
      <c r="C104" s="51" t="s">
        <v>106</v>
      </c>
      <c r="D104" s="86" t="s">
        <v>116</v>
      </c>
      <c r="E104" s="51" t="s">
        <v>107</v>
      </c>
      <c r="F104" s="69">
        <v>257174.25</v>
      </c>
      <c r="G104" s="67">
        <v>405000</v>
      </c>
      <c r="H104" s="69">
        <v>300000</v>
      </c>
      <c r="I104" s="69">
        <v>105000</v>
      </c>
      <c r="J104" s="69"/>
      <c r="K104" s="70">
        <f t="shared" si="82"/>
        <v>0</v>
      </c>
      <c r="L104" s="67">
        <f t="shared" si="83"/>
        <v>-42825.75</v>
      </c>
      <c r="M104" s="56" t="s">
        <v>88</v>
      </c>
      <c r="N104" s="54">
        <v>45705</v>
      </c>
      <c r="O104" s="56">
        <f t="shared" si="84"/>
        <v>147825.75</v>
      </c>
    </row>
    <row r="105" spans="1:15" ht="28.5">
      <c r="A105" s="54">
        <v>45673</v>
      </c>
      <c r="B105" s="51" t="s">
        <v>108</v>
      </c>
      <c r="C105" s="51" t="s">
        <v>109</v>
      </c>
      <c r="D105" s="88" t="s">
        <v>114</v>
      </c>
      <c r="E105" s="51" t="s">
        <v>110</v>
      </c>
      <c r="F105" s="69">
        <v>245837.8</v>
      </c>
      <c r="G105" s="67">
        <v>390000</v>
      </c>
      <c r="H105" s="69">
        <v>200000</v>
      </c>
      <c r="I105" s="69">
        <v>190000</v>
      </c>
      <c r="J105" s="69"/>
      <c r="K105" s="70">
        <f t="shared" si="82"/>
        <v>0</v>
      </c>
      <c r="L105" s="67">
        <f t="shared" si="83"/>
        <v>45837.799999999988</v>
      </c>
      <c r="M105" s="56" t="s">
        <v>88</v>
      </c>
      <c r="N105" s="54">
        <v>45700</v>
      </c>
      <c r="O105" s="56">
        <f t="shared" si="84"/>
        <v>144162.20000000001</v>
      </c>
    </row>
    <row r="106" spans="1:15" ht="15">
      <c r="A106" s="57">
        <v>45647</v>
      </c>
      <c r="B106" s="51" t="s">
        <v>280</v>
      </c>
      <c r="C106" s="51" t="s">
        <v>100</v>
      </c>
      <c r="D106" s="60" t="s">
        <v>103</v>
      </c>
      <c r="E106" s="51" t="s">
        <v>101</v>
      </c>
      <c r="F106" s="71">
        <v>534546</v>
      </c>
      <c r="G106" s="71">
        <v>760000</v>
      </c>
      <c r="H106" s="71">
        <v>380000</v>
      </c>
      <c r="I106" s="71">
        <v>200000</v>
      </c>
      <c r="J106" s="71">
        <v>180000</v>
      </c>
      <c r="K106" s="70">
        <f t="shared" si="82"/>
        <v>0</v>
      </c>
      <c r="L106" s="67">
        <f t="shared" si="83"/>
        <v>154546</v>
      </c>
      <c r="M106" s="49" t="s">
        <v>88</v>
      </c>
      <c r="N106" s="57">
        <v>45679</v>
      </c>
      <c r="O106" s="56">
        <f t="shared" si="84"/>
        <v>225454</v>
      </c>
    </row>
    <row r="107" spans="1:15" ht="15">
      <c r="A107" s="57">
        <v>45646</v>
      </c>
      <c r="B107" s="51" t="s">
        <v>275</v>
      </c>
      <c r="C107" s="51" t="s">
        <v>89</v>
      </c>
      <c r="D107" s="60" t="s">
        <v>98</v>
      </c>
      <c r="E107" s="51" t="s">
        <v>99</v>
      </c>
      <c r="F107" s="71">
        <v>447700</v>
      </c>
      <c r="G107" s="71">
        <v>447700</v>
      </c>
      <c r="H107" s="71">
        <v>447700</v>
      </c>
      <c r="K107" s="70">
        <f t="shared" si="82"/>
        <v>0</v>
      </c>
      <c r="L107" s="67">
        <f t="shared" si="83"/>
        <v>0</v>
      </c>
      <c r="M107" s="49" t="s">
        <v>88</v>
      </c>
      <c r="N107" s="57">
        <v>45679</v>
      </c>
      <c r="O107" s="56">
        <f t="shared" si="84"/>
        <v>0</v>
      </c>
    </row>
    <row r="108" spans="1:15" ht="15">
      <c r="A108" s="57">
        <v>45641</v>
      </c>
      <c r="B108" s="51" t="s">
        <v>286</v>
      </c>
      <c r="C108" s="51" t="s">
        <v>104</v>
      </c>
      <c r="E108" s="51" t="s">
        <v>105</v>
      </c>
      <c r="F108" s="71">
        <v>589000</v>
      </c>
      <c r="G108" s="67">
        <v>630000</v>
      </c>
      <c r="H108" s="71">
        <v>630000</v>
      </c>
      <c r="K108" s="70">
        <f t="shared" si="82"/>
        <v>0</v>
      </c>
      <c r="L108" s="67">
        <f t="shared" si="83"/>
        <v>-41000</v>
      </c>
      <c r="M108" s="49" t="s">
        <v>88</v>
      </c>
      <c r="N108" s="57">
        <v>45660</v>
      </c>
      <c r="O108" s="56">
        <f t="shared" si="84"/>
        <v>41000</v>
      </c>
    </row>
    <row r="109" spans="1:15" ht="15">
      <c r="A109" s="57">
        <v>45635</v>
      </c>
      <c r="B109" s="51" t="s">
        <v>273</v>
      </c>
      <c r="C109" s="51" t="s">
        <v>92</v>
      </c>
      <c r="D109" s="87" t="s">
        <v>97</v>
      </c>
      <c r="E109" s="51" t="s">
        <v>93</v>
      </c>
      <c r="F109" s="71">
        <v>424000</v>
      </c>
      <c r="G109" s="67">
        <v>580000</v>
      </c>
      <c r="H109" s="71">
        <v>300000</v>
      </c>
      <c r="I109" s="71">
        <v>280000</v>
      </c>
      <c r="K109" s="70">
        <f t="shared" si="82"/>
        <v>0</v>
      </c>
      <c r="L109" s="67">
        <f t="shared" si="83"/>
        <v>124000</v>
      </c>
      <c r="M109" s="49" t="s">
        <v>88</v>
      </c>
      <c r="N109" s="57">
        <v>45674</v>
      </c>
      <c r="O109" s="56">
        <f t="shared" si="84"/>
        <v>156000</v>
      </c>
    </row>
    <row r="110" spans="1:15" ht="28.5">
      <c r="A110" s="57">
        <v>45632</v>
      </c>
      <c r="B110" s="51" t="s">
        <v>274</v>
      </c>
      <c r="C110" s="51" t="s">
        <v>89</v>
      </c>
      <c r="D110" s="87" t="s">
        <v>87</v>
      </c>
      <c r="E110" s="51" t="s">
        <v>90</v>
      </c>
      <c r="F110" s="71">
        <v>105000</v>
      </c>
      <c r="G110" s="67">
        <v>190000</v>
      </c>
      <c r="H110" s="71">
        <v>105000</v>
      </c>
      <c r="I110" s="71">
        <v>85000</v>
      </c>
      <c r="K110" s="70">
        <f t="shared" si="82"/>
        <v>0</v>
      </c>
      <c r="L110" s="67">
        <f t="shared" si="83"/>
        <v>0</v>
      </c>
      <c r="M110" s="49" t="s">
        <v>88</v>
      </c>
      <c r="N110" s="54">
        <v>45645</v>
      </c>
      <c r="O110" s="56">
        <f t="shared" si="84"/>
        <v>85000</v>
      </c>
    </row>
    <row r="111" spans="1:15" ht="15">
      <c r="A111" s="54">
        <v>45631</v>
      </c>
      <c r="B111" s="51" t="s">
        <v>82</v>
      </c>
      <c r="C111" s="51" t="s">
        <v>80</v>
      </c>
      <c r="D111" s="88" t="s">
        <v>87</v>
      </c>
      <c r="E111" s="51" t="s">
        <v>81</v>
      </c>
      <c r="F111" s="69">
        <v>105000</v>
      </c>
      <c r="G111" s="67">
        <v>190000</v>
      </c>
      <c r="H111" s="69">
        <v>100000</v>
      </c>
      <c r="I111" s="69">
        <v>90000</v>
      </c>
      <c r="J111" s="69"/>
      <c r="K111" s="70">
        <f t="shared" si="82"/>
        <v>0</v>
      </c>
      <c r="L111" s="67">
        <f t="shared" si="83"/>
        <v>5000</v>
      </c>
      <c r="M111" s="56" t="s">
        <v>88</v>
      </c>
      <c r="N111" s="54">
        <v>45639</v>
      </c>
      <c r="O111" s="56">
        <f t="shared" si="84"/>
        <v>85000</v>
      </c>
    </row>
    <row r="112" spans="1:15" ht="28.5">
      <c r="A112" s="57">
        <v>45631</v>
      </c>
      <c r="B112" s="51" t="s">
        <v>83</v>
      </c>
      <c r="C112" s="51" t="s">
        <v>84</v>
      </c>
      <c r="D112" s="87" t="s">
        <v>96</v>
      </c>
      <c r="E112" s="51" t="s">
        <v>85</v>
      </c>
      <c r="F112" s="71">
        <v>382765.67</v>
      </c>
      <c r="G112" s="67">
        <v>545000</v>
      </c>
      <c r="H112" s="71">
        <v>272500</v>
      </c>
      <c r="I112" s="71">
        <v>272500</v>
      </c>
      <c r="K112" s="70">
        <f t="shared" si="82"/>
        <v>0</v>
      </c>
      <c r="L112" s="67">
        <f t="shared" si="83"/>
        <v>110265.66999999998</v>
      </c>
      <c r="M112" s="49" t="s">
        <v>88</v>
      </c>
      <c r="N112" s="57">
        <v>45656</v>
      </c>
      <c r="O112" s="56">
        <f t="shared" si="84"/>
        <v>162234.33000000002</v>
      </c>
    </row>
    <row r="113" spans="1:15" ht="15">
      <c r="A113" s="54">
        <v>45629</v>
      </c>
      <c r="B113" s="51" t="s">
        <v>19</v>
      </c>
      <c r="C113" s="51" t="s">
        <v>78</v>
      </c>
      <c r="D113" s="88" t="s">
        <v>87</v>
      </c>
      <c r="E113" s="51" t="s">
        <v>79</v>
      </c>
      <c r="F113" s="69">
        <v>105000</v>
      </c>
      <c r="G113" s="67">
        <v>190000</v>
      </c>
      <c r="H113" s="69">
        <v>90000</v>
      </c>
      <c r="I113" s="69">
        <v>100000</v>
      </c>
      <c r="J113" s="69"/>
      <c r="K113" s="70">
        <f t="shared" si="82"/>
        <v>0</v>
      </c>
      <c r="L113" s="67">
        <f t="shared" si="83"/>
        <v>15000</v>
      </c>
      <c r="M113" s="56" t="s">
        <v>88</v>
      </c>
      <c r="N113" s="54">
        <v>45645</v>
      </c>
      <c r="O113" s="56">
        <f t="shared" si="84"/>
        <v>85000</v>
      </c>
    </row>
    <row r="114" spans="1:15" ht="15">
      <c r="A114" s="54">
        <v>45628</v>
      </c>
      <c r="B114" s="51" t="s">
        <v>65</v>
      </c>
      <c r="C114" s="51" t="s">
        <v>77</v>
      </c>
      <c r="D114" s="86"/>
      <c r="E114" s="51" t="s">
        <v>20</v>
      </c>
      <c r="F114" s="69">
        <v>204750</v>
      </c>
      <c r="G114" s="67">
        <v>215000</v>
      </c>
      <c r="H114" s="69">
        <v>100000</v>
      </c>
      <c r="I114" s="69">
        <v>115000</v>
      </c>
      <c r="J114" s="69"/>
      <c r="K114" s="70">
        <f t="shared" si="82"/>
        <v>0</v>
      </c>
      <c r="L114" s="67">
        <f t="shared" si="83"/>
        <v>104750</v>
      </c>
      <c r="M114" s="56" t="s">
        <v>88</v>
      </c>
      <c r="N114" s="54">
        <v>45635</v>
      </c>
      <c r="O114" s="56">
        <f t="shared" si="84"/>
        <v>10250</v>
      </c>
    </row>
    <row r="115" spans="1:15" ht="18">
      <c r="A115" s="54">
        <v>45625</v>
      </c>
      <c r="B115" s="51" t="s">
        <v>65</v>
      </c>
      <c r="C115" s="61" t="s">
        <v>52</v>
      </c>
      <c r="D115" s="64" t="s">
        <v>75</v>
      </c>
      <c r="E115" s="51" t="s">
        <v>67</v>
      </c>
      <c r="F115" s="69">
        <v>542178</v>
      </c>
      <c r="G115" s="67">
        <v>680000</v>
      </c>
      <c r="H115" s="69">
        <v>200000</v>
      </c>
      <c r="I115" s="69">
        <v>200000</v>
      </c>
      <c r="J115" s="69">
        <f>100000+180000</f>
        <v>280000</v>
      </c>
      <c r="K115" s="73">
        <f t="shared" si="82"/>
        <v>0</v>
      </c>
      <c r="L115" s="67">
        <f t="shared" si="83"/>
        <v>342178</v>
      </c>
      <c r="M115" s="56" t="s">
        <v>88</v>
      </c>
      <c r="N115" s="54">
        <v>45645</v>
      </c>
      <c r="O115" s="56">
        <f t="shared" si="84"/>
        <v>137822</v>
      </c>
    </row>
    <row r="116" spans="1:15" ht="28.5">
      <c r="A116" s="54">
        <v>45625</v>
      </c>
      <c r="B116" s="51" t="s">
        <v>124</v>
      </c>
      <c r="C116" s="51" t="s">
        <v>68</v>
      </c>
      <c r="D116" s="86" t="s">
        <v>102</v>
      </c>
      <c r="E116" s="51" t="s">
        <v>91</v>
      </c>
      <c r="F116" s="69">
        <v>764821</v>
      </c>
      <c r="G116" s="67">
        <v>880000</v>
      </c>
      <c r="H116" s="69">
        <v>440000</v>
      </c>
      <c r="I116" s="69">
        <v>440000</v>
      </c>
      <c r="J116" s="69"/>
      <c r="K116" s="73">
        <f t="shared" si="82"/>
        <v>0</v>
      </c>
      <c r="L116" s="67">
        <f t="shared" si="83"/>
        <v>324821</v>
      </c>
      <c r="M116" s="56" t="s">
        <v>88</v>
      </c>
      <c r="N116" s="54">
        <v>45679</v>
      </c>
      <c r="O116" s="56">
        <f t="shared" si="84"/>
        <v>115179</v>
      </c>
    </row>
    <row r="117" spans="1:15" ht="18">
      <c r="A117" s="54">
        <v>45625</v>
      </c>
      <c r="B117" s="51" t="s">
        <v>284</v>
      </c>
      <c r="C117" s="51" t="s">
        <v>70</v>
      </c>
      <c r="D117" s="86" t="s">
        <v>86</v>
      </c>
      <c r="E117" s="51" t="s">
        <v>71</v>
      </c>
      <c r="F117" s="69">
        <v>310106.68</v>
      </c>
      <c r="G117" s="67">
        <v>450000</v>
      </c>
      <c r="H117" s="69">
        <v>225000</v>
      </c>
      <c r="I117" s="69">
        <v>117000</v>
      </c>
      <c r="J117" s="69">
        <v>108000</v>
      </c>
      <c r="K117" s="73">
        <f t="shared" si="82"/>
        <v>0</v>
      </c>
      <c r="L117" s="67">
        <f t="shared" si="83"/>
        <v>85106.68</v>
      </c>
      <c r="M117" s="56" t="s">
        <v>88</v>
      </c>
      <c r="N117" s="54">
        <v>45656</v>
      </c>
      <c r="O117" s="56">
        <f t="shared" si="84"/>
        <v>139893.32</v>
      </c>
    </row>
    <row r="118" spans="1:15" ht="28.5">
      <c r="A118" s="54">
        <v>45625</v>
      </c>
      <c r="B118" s="51" t="s">
        <v>69</v>
      </c>
      <c r="C118" s="51" t="s">
        <v>73</v>
      </c>
      <c r="D118" s="86" t="s">
        <v>76</v>
      </c>
      <c r="E118" s="51" t="s">
        <v>72</v>
      </c>
      <c r="F118" s="69">
        <f>396995/2</f>
        <v>198497.5</v>
      </c>
      <c r="G118" s="67">
        <f>570000/2</f>
        <v>285000</v>
      </c>
      <c r="H118" s="69">
        <f>285000/2</f>
        <v>142500</v>
      </c>
      <c r="I118" s="69">
        <v>142500</v>
      </c>
      <c r="J118" s="69"/>
      <c r="K118" s="73">
        <f t="shared" si="82"/>
        <v>0</v>
      </c>
      <c r="L118" s="67">
        <f t="shared" si="83"/>
        <v>55997.5</v>
      </c>
      <c r="M118" s="56" t="s">
        <v>88</v>
      </c>
      <c r="N118" s="54">
        <v>45656</v>
      </c>
      <c r="O118" s="56">
        <f t="shared" si="84"/>
        <v>86502.5</v>
      </c>
    </row>
    <row r="119" spans="1:15" ht="28.5">
      <c r="A119" s="54">
        <v>45625</v>
      </c>
      <c r="B119" s="51" t="s">
        <v>69</v>
      </c>
      <c r="C119" s="51" t="s">
        <v>74</v>
      </c>
      <c r="D119" s="86" t="s">
        <v>76</v>
      </c>
      <c r="E119" s="51" t="s">
        <v>72</v>
      </c>
      <c r="F119" s="69">
        <f>396995/2</f>
        <v>198497.5</v>
      </c>
      <c r="G119" s="67">
        <f>570000/2</f>
        <v>285000</v>
      </c>
      <c r="H119" s="69">
        <f>285000/2</f>
        <v>142500</v>
      </c>
      <c r="I119" s="69">
        <v>80000</v>
      </c>
      <c r="J119" s="69">
        <v>62500</v>
      </c>
      <c r="K119" s="73">
        <f t="shared" si="82"/>
        <v>0</v>
      </c>
      <c r="L119" s="67">
        <f t="shared" si="83"/>
        <v>55997.5</v>
      </c>
      <c r="M119" s="56" t="s">
        <v>88</v>
      </c>
      <c r="N119" s="54">
        <v>45679</v>
      </c>
      <c r="O119" s="56">
        <f t="shared" si="84"/>
        <v>86502.5</v>
      </c>
    </row>
    <row r="120" spans="1:15" ht="28.5">
      <c r="A120" s="54">
        <v>45617</v>
      </c>
      <c r="B120" s="51" t="s">
        <v>124</v>
      </c>
      <c r="C120" s="51" t="s">
        <v>57</v>
      </c>
      <c r="D120" s="86" t="s">
        <v>64</v>
      </c>
      <c r="E120" s="51" t="s">
        <v>95</v>
      </c>
      <c r="F120" s="69">
        <v>188921.53</v>
      </c>
      <c r="G120" s="67">
        <v>240000</v>
      </c>
      <c r="H120" s="69">
        <v>120000</v>
      </c>
      <c r="I120" s="69">
        <v>120000</v>
      </c>
      <c r="J120" s="69"/>
      <c r="K120" s="73">
        <f t="shared" si="82"/>
        <v>0</v>
      </c>
      <c r="L120" s="67">
        <f t="shared" si="83"/>
        <v>68921.53</v>
      </c>
      <c r="M120" s="56" t="s">
        <v>88</v>
      </c>
      <c r="N120" s="54">
        <v>45656</v>
      </c>
      <c r="O120" s="56">
        <f t="shared" si="84"/>
        <v>51078.47</v>
      </c>
    </row>
    <row r="121" spans="1:15" ht="28.5">
      <c r="A121" s="54">
        <v>45614</v>
      </c>
      <c r="B121" s="51" t="s">
        <v>281</v>
      </c>
      <c r="C121" s="61" t="s">
        <v>52</v>
      </c>
      <c r="D121" s="64" t="s">
        <v>62</v>
      </c>
      <c r="E121" s="51" t="s">
        <v>40</v>
      </c>
      <c r="F121" s="69">
        <v>413000</v>
      </c>
      <c r="G121" s="67">
        <v>570000</v>
      </c>
      <c r="H121" s="69">
        <v>285000</v>
      </c>
      <c r="I121" s="69">
        <v>285000</v>
      </c>
      <c r="J121" s="69"/>
      <c r="K121" s="73">
        <f t="shared" si="82"/>
        <v>0</v>
      </c>
      <c r="L121" s="67">
        <f t="shared" si="83"/>
        <v>128000</v>
      </c>
      <c r="M121" s="56" t="s">
        <v>88</v>
      </c>
      <c r="N121" s="54">
        <v>45638</v>
      </c>
      <c r="O121" s="56">
        <f t="shared" si="84"/>
        <v>157000</v>
      </c>
    </row>
    <row r="122" spans="1:15" ht="18">
      <c r="A122" s="54">
        <v>45612</v>
      </c>
      <c r="B122" s="51" t="s">
        <v>284</v>
      </c>
      <c r="C122" s="51" t="s">
        <v>43</v>
      </c>
      <c r="D122" s="86" t="s">
        <v>63</v>
      </c>
      <c r="E122" s="51" t="s">
        <v>40</v>
      </c>
      <c r="F122" s="69">
        <v>171075.19</v>
      </c>
      <c r="G122" s="67">
        <v>283000</v>
      </c>
      <c r="H122" s="69">
        <v>200000</v>
      </c>
      <c r="I122" s="69">
        <v>83000</v>
      </c>
      <c r="J122" s="69"/>
      <c r="K122" s="73">
        <f t="shared" si="82"/>
        <v>0</v>
      </c>
      <c r="L122" s="67">
        <v>0</v>
      </c>
      <c r="M122" s="56" t="s">
        <v>88</v>
      </c>
      <c r="N122" s="54">
        <v>45635</v>
      </c>
      <c r="O122" s="56">
        <f t="shared" si="84"/>
        <v>111924.81</v>
      </c>
    </row>
    <row r="123" spans="1:15" ht="28.5">
      <c r="A123" s="54">
        <v>45612</v>
      </c>
      <c r="B123" s="51" t="s">
        <v>41</v>
      </c>
      <c r="C123" s="51" t="s">
        <v>47</v>
      </c>
      <c r="D123" s="86" t="s">
        <v>63</v>
      </c>
      <c r="E123" s="51" t="s">
        <v>42</v>
      </c>
      <c r="F123" s="69">
        <f>337109.5/2</f>
        <v>168554.75</v>
      </c>
      <c r="G123" s="67">
        <f>560000/2</f>
        <v>280000</v>
      </c>
      <c r="H123" s="69">
        <f>430000/2</f>
        <v>215000</v>
      </c>
      <c r="I123" s="69">
        <v>65000</v>
      </c>
      <c r="J123" s="69"/>
      <c r="K123" s="73">
        <f t="shared" si="82"/>
        <v>0</v>
      </c>
      <c r="L123" s="67">
        <v>0</v>
      </c>
      <c r="M123" s="56" t="s">
        <v>88</v>
      </c>
      <c r="N123" s="54">
        <v>45632</v>
      </c>
      <c r="O123" s="56">
        <f t="shared" si="84"/>
        <v>111445.25</v>
      </c>
    </row>
    <row r="124" spans="1:15" ht="18">
      <c r="A124" s="54">
        <v>45612</v>
      </c>
      <c r="B124" s="51" t="s">
        <v>41</v>
      </c>
      <c r="C124" s="51" t="s">
        <v>48</v>
      </c>
      <c r="D124" s="86" t="s">
        <v>63</v>
      </c>
      <c r="E124" s="51" t="s">
        <v>42</v>
      </c>
      <c r="F124" s="69">
        <f>337109.5/2</f>
        <v>168554.75</v>
      </c>
      <c r="G124" s="67">
        <f>560000/2</f>
        <v>280000</v>
      </c>
      <c r="H124" s="69">
        <f>430000/2</f>
        <v>215000</v>
      </c>
      <c r="I124" s="69">
        <v>65000</v>
      </c>
      <c r="J124" s="69"/>
      <c r="K124" s="73">
        <f t="shared" si="82"/>
        <v>0</v>
      </c>
      <c r="L124" s="67">
        <v>0</v>
      </c>
      <c r="M124" s="56" t="s">
        <v>88</v>
      </c>
      <c r="N124" s="54">
        <v>45637</v>
      </c>
      <c r="O124" s="56">
        <f t="shared" si="84"/>
        <v>111445.25</v>
      </c>
    </row>
    <row r="125" spans="1:15" ht="28.5">
      <c r="A125" s="54">
        <v>45612</v>
      </c>
      <c r="B125" s="51" t="s">
        <v>44</v>
      </c>
      <c r="C125" s="61" t="s">
        <v>49</v>
      </c>
      <c r="D125" s="64" t="s">
        <v>61</v>
      </c>
      <c r="E125" s="51" t="s">
        <v>50</v>
      </c>
      <c r="F125" s="69">
        <v>423921.88</v>
      </c>
      <c r="G125" s="67">
        <v>565000</v>
      </c>
      <c r="H125" s="69">
        <v>300000</v>
      </c>
      <c r="I125" s="69">
        <v>265000</v>
      </c>
      <c r="J125" s="69"/>
      <c r="K125" s="73">
        <f t="shared" ref="K125:K133" si="85">G125-SUM(H125,I125,J125)</f>
        <v>0</v>
      </c>
      <c r="L125" s="67">
        <f>F125-H125</f>
        <v>123921.88</v>
      </c>
      <c r="M125" s="56" t="s">
        <v>88</v>
      </c>
      <c r="N125" s="54">
        <v>45633</v>
      </c>
      <c r="O125" s="56">
        <f t="shared" ref="O125:O133" si="86">G125-F125</f>
        <v>141078.12</v>
      </c>
    </row>
    <row r="126" spans="1:15" ht="18">
      <c r="A126" s="54">
        <v>45611</v>
      </c>
      <c r="B126" s="51" t="s">
        <v>38</v>
      </c>
      <c r="C126" s="51" t="s">
        <v>39</v>
      </c>
      <c r="D126" s="86" t="s">
        <v>59</v>
      </c>
      <c r="E126" s="51" t="s">
        <v>30</v>
      </c>
      <c r="F126" s="69">
        <v>553822.75</v>
      </c>
      <c r="G126" s="67">
        <v>680000</v>
      </c>
      <c r="H126" s="69">
        <v>290000</v>
      </c>
      <c r="I126" s="69">
        <v>390000</v>
      </c>
      <c r="J126" s="69"/>
      <c r="K126" s="73">
        <f t="shared" si="85"/>
        <v>0</v>
      </c>
      <c r="L126" s="67">
        <f>F126-H126-110000</f>
        <v>153822.75</v>
      </c>
      <c r="M126" s="56" t="s">
        <v>88</v>
      </c>
      <c r="N126" s="54">
        <v>45646</v>
      </c>
      <c r="O126" s="56">
        <f t="shared" si="86"/>
        <v>126177.25</v>
      </c>
    </row>
    <row r="127" spans="1:15" ht="28.5">
      <c r="A127" s="54">
        <v>45611</v>
      </c>
      <c r="B127" s="51" t="s">
        <v>44</v>
      </c>
      <c r="C127" s="61" t="s">
        <v>45</v>
      </c>
      <c r="D127" s="64" t="s">
        <v>60</v>
      </c>
      <c r="E127" s="51" t="s">
        <v>46</v>
      </c>
      <c r="F127" s="69">
        <v>574663.18999999994</v>
      </c>
      <c r="G127" s="67">
        <v>710000</v>
      </c>
      <c r="H127" s="69">
        <v>400000</v>
      </c>
      <c r="I127" s="69">
        <v>310000</v>
      </c>
      <c r="J127" s="69"/>
      <c r="K127" s="73">
        <f t="shared" si="85"/>
        <v>0</v>
      </c>
      <c r="L127" s="67">
        <f t="shared" ref="L127:L133" si="87">F127-H127</f>
        <v>174663.18999999994</v>
      </c>
      <c r="M127" s="56" t="s">
        <v>88</v>
      </c>
      <c r="N127" s="54">
        <v>45633</v>
      </c>
      <c r="O127" s="56">
        <f t="shared" si="86"/>
        <v>135336.81000000006</v>
      </c>
    </row>
    <row r="128" spans="1:15" ht="18">
      <c r="A128" s="54">
        <v>45608</v>
      </c>
      <c r="B128" s="51" t="s">
        <v>146</v>
      </c>
      <c r="C128" s="65" t="s">
        <v>35</v>
      </c>
      <c r="D128" s="66"/>
      <c r="E128" s="51" t="s">
        <v>33</v>
      </c>
      <c r="F128" s="69">
        <v>378293</v>
      </c>
      <c r="G128" s="67">
        <v>500000</v>
      </c>
      <c r="H128" s="69">
        <v>250000</v>
      </c>
      <c r="I128" s="69">
        <v>250000</v>
      </c>
      <c r="J128" s="69"/>
      <c r="K128" s="73">
        <f t="shared" si="85"/>
        <v>0</v>
      </c>
      <c r="L128" s="67">
        <f t="shared" si="87"/>
        <v>128293</v>
      </c>
      <c r="M128" s="56" t="s">
        <v>88</v>
      </c>
      <c r="N128" s="54">
        <v>45633</v>
      </c>
      <c r="O128" s="56">
        <f t="shared" si="86"/>
        <v>121707</v>
      </c>
    </row>
    <row r="129" spans="1:15" ht="18">
      <c r="A129" s="54">
        <v>45607</v>
      </c>
      <c r="B129" s="51" t="s">
        <v>140</v>
      </c>
      <c r="C129" s="51" t="s">
        <v>28</v>
      </c>
      <c r="D129" s="86"/>
      <c r="E129" s="51" t="s">
        <v>29</v>
      </c>
      <c r="F129" s="69">
        <f>570656/2</f>
        <v>285328</v>
      </c>
      <c r="G129" s="67">
        <v>420000</v>
      </c>
      <c r="H129" s="69">
        <v>210000</v>
      </c>
      <c r="I129" s="69">
        <v>210000</v>
      </c>
      <c r="J129" s="69"/>
      <c r="K129" s="73">
        <f t="shared" si="85"/>
        <v>0</v>
      </c>
      <c r="L129" s="67">
        <f t="shared" si="87"/>
        <v>75328</v>
      </c>
      <c r="M129" s="56" t="s">
        <v>88</v>
      </c>
      <c r="N129" s="54">
        <v>45630</v>
      </c>
      <c r="O129" s="56">
        <f t="shared" si="86"/>
        <v>134672</v>
      </c>
    </row>
    <row r="130" spans="1:15" ht="18">
      <c r="A130" s="54">
        <v>45607</v>
      </c>
      <c r="B130" s="51" t="s">
        <v>140</v>
      </c>
      <c r="C130" s="51" t="s">
        <v>31</v>
      </c>
      <c r="D130" s="86"/>
      <c r="E130" s="51" t="s">
        <v>30</v>
      </c>
      <c r="F130" s="69">
        <f>570656/2</f>
        <v>285328</v>
      </c>
      <c r="G130" s="67">
        <v>420000</v>
      </c>
      <c r="H130" s="69">
        <v>210000</v>
      </c>
      <c r="I130" s="69">
        <v>210000</v>
      </c>
      <c r="J130" s="69"/>
      <c r="K130" s="73">
        <f t="shared" si="85"/>
        <v>0</v>
      </c>
      <c r="L130" s="67">
        <f t="shared" si="87"/>
        <v>75328</v>
      </c>
      <c r="M130" s="56" t="s">
        <v>88</v>
      </c>
      <c r="N130" s="54">
        <v>45630</v>
      </c>
      <c r="O130" s="56">
        <f t="shared" si="86"/>
        <v>134672</v>
      </c>
    </row>
    <row r="131" spans="1:15" ht="18">
      <c r="A131" s="54">
        <v>45604</v>
      </c>
      <c r="B131" s="51" t="s">
        <v>18</v>
      </c>
      <c r="C131" s="51" t="s">
        <v>23</v>
      </c>
      <c r="D131" s="86"/>
      <c r="E131" s="51" t="s">
        <v>27</v>
      </c>
      <c r="F131" s="69">
        <v>284343</v>
      </c>
      <c r="G131" s="67">
        <v>395000</v>
      </c>
      <c r="H131" s="69">
        <v>197500</v>
      </c>
      <c r="I131" s="69">
        <v>197500</v>
      </c>
      <c r="J131" s="69"/>
      <c r="K131" s="73">
        <f t="shared" si="85"/>
        <v>0</v>
      </c>
      <c r="L131" s="67">
        <f t="shared" si="87"/>
        <v>86843</v>
      </c>
      <c r="M131" s="56" t="s">
        <v>88</v>
      </c>
      <c r="N131" s="54">
        <v>45632</v>
      </c>
      <c r="O131" s="56">
        <f t="shared" si="86"/>
        <v>110657</v>
      </c>
    </row>
    <row r="132" spans="1:15" ht="18">
      <c r="A132" s="54">
        <v>45604</v>
      </c>
      <c r="B132" s="51" t="s">
        <v>19</v>
      </c>
      <c r="C132" s="51" t="s">
        <v>24</v>
      </c>
      <c r="D132" s="88" t="s">
        <v>87</v>
      </c>
      <c r="E132" s="51" t="s">
        <v>32</v>
      </c>
      <c r="F132" s="69">
        <v>110000</v>
      </c>
      <c r="G132" s="67">
        <v>170000</v>
      </c>
      <c r="H132" s="69">
        <v>70000</v>
      </c>
      <c r="I132" s="69">
        <v>100000</v>
      </c>
      <c r="J132" s="69"/>
      <c r="K132" s="73">
        <f t="shared" si="85"/>
        <v>0</v>
      </c>
      <c r="L132" s="67">
        <f t="shared" si="87"/>
        <v>40000</v>
      </c>
      <c r="M132" s="56" t="s">
        <v>88</v>
      </c>
      <c r="N132" s="54">
        <v>45622</v>
      </c>
      <c r="O132" s="56">
        <f t="shared" si="86"/>
        <v>60000</v>
      </c>
    </row>
    <row r="133" spans="1:15" ht="28.5">
      <c r="A133" s="54">
        <v>45602</v>
      </c>
      <c r="B133" s="51" t="s">
        <v>124</v>
      </c>
      <c r="C133" s="51" t="s">
        <v>22</v>
      </c>
      <c r="D133" s="88" t="s">
        <v>87</v>
      </c>
      <c r="E133" s="51" t="s">
        <v>26</v>
      </c>
      <c r="F133" s="69">
        <v>70000</v>
      </c>
      <c r="G133" s="67">
        <v>110000</v>
      </c>
      <c r="H133" s="69">
        <v>0</v>
      </c>
      <c r="I133" s="69">
        <v>110000</v>
      </c>
      <c r="J133" s="69"/>
      <c r="K133" s="73">
        <f t="shared" si="85"/>
        <v>0</v>
      </c>
      <c r="L133" s="67">
        <f t="shared" si="87"/>
        <v>70000</v>
      </c>
      <c r="M133" s="56" t="s">
        <v>88</v>
      </c>
      <c r="N133" s="54">
        <v>45619</v>
      </c>
      <c r="O133" s="56">
        <f t="shared" si="86"/>
        <v>40000</v>
      </c>
    </row>
  </sheetData>
  <autoFilter ref="A1:Q133" xr:uid="{F2C94D95-B9DB-44E2-BD33-741762ED2A37}">
    <sortState xmlns:xlrd2="http://schemas.microsoft.com/office/spreadsheetml/2017/richdata2" ref="A2:Q133">
      <sortCondition descending="1" ref="A1:A133"/>
    </sortState>
  </autoFilter>
  <phoneticPr fontId="21" type="noConversion"/>
  <conditionalFormatting sqref="A127:M127">
    <cfRule type="expression" dxfId="21" priority="386">
      <formula>$L$49=RECIBIDO</formula>
    </cfRule>
  </conditionalFormatting>
  <conditionalFormatting sqref="K1:K36">
    <cfRule type="cellIs" dxfId="20" priority="9" operator="equal">
      <formula>0</formula>
    </cfRule>
    <cfRule type="cellIs" dxfId="19" priority="10" operator="greaterThan">
      <formula>0</formula>
    </cfRule>
    <cfRule type="cellIs" dxfId="18" priority="11" operator="greaterThan">
      <formula>0</formula>
    </cfRule>
  </conditionalFormatting>
  <conditionalFormatting sqref="K37:K133">
    <cfRule type="cellIs" dxfId="17" priority="397" operator="greaterThan">
      <formula>0</formula>
    </cfRule>
    <cfRule type="cellIs" dxfId="16" priority="396" operator="greaterThan">
      <formula>0</formula>
    </cfRule>
    <cfRule type="cellIs" dxfId="15" priority="395" operator="equal">
      <formula>0</formula>
    </cfRule>
  </conditionalFormatting>
  <conditionalFormatting sqref="M1:M77">
    <cfRule type="cellIs" dxfId="14" priority="6" operator="equal">
      <formula>"recibido"</formula>
    </cfRule>
    <cfRule type="containsText" dxfId="13" priority="7" operator="containsText" text="NO">
      <formula>NOT(ISERROR(SEARCH("NO",M1)))</formula>
    </cfRule>
    <cfRule type="containsText" dxfId="12" priority="8" operator="containsText" text="SI">
      <formula>NOT(ISERROR(SEARCH("SI",M1)))</formula>
    </cfRule>
  </conditionalFormatting>
  <conditionalFormatting sqref="M1:M114">
    <cfRule type="cellIs" dxfId="11" priority="3" operator="equal">
      <formula>"RECIBIDO"</formula>
    </cfRule>
    <cfRule type="cellIs" dxfId="10" priority="4" operator="equal">
      <formula>"SI"</formula>
    </cfRule>
    <cfRule type="cellIs" dxfId="9" priority="5" operator="equal">
      <formula>"NO"</formula>
    </cfRule>
  </conditionalFormatting>
  <conditionalFormatting sqref="M1:M133">
    <cfRule type="cellIs" dxfId="8" priority="1" operator="equal">
      <formula>"ENVIADO"</formula>
    </cfRule>
    <cfRule type="cellIs" dxfId="7" priority="2" operator="equal">
      <formula>"ENTREGADO"</formula>
    </cfRule>
  </conditionalFormatting>
  <conditionalFormatting sqref="M79:M108">
    <cfRule type="containsText" dxfId="6" priority="405" operator="containsText" text="SI">
      <formula>NOT(ISERROR(SEARCH("SI",M79)))</formula>
    </cfRule>
    <cfRule type="cellIs" dxfId="5" priority="403" operator="equal">
      <formula>"recibido"</formula>
    </cfRule>
    <cfRule type="containsText" dxfId="4" priority="404" operator="containsText" text="NO">
      <formula>NOT(ISERROR(SEARCH("NO",M79)))</formula>
    </cfRule>
  </conditionalFormatting>
  <conditionalFormatting sqref="M115:M133">
    <cfRule type="cellIs" dxfId="3" priority="392" operator="equal">
      <formula>"recibido"</formula>
    </cfRule>
    <cfRule type="containsText" dxfId="2" priority="393" operator="containsText" text="NO">
      <formula>NOT(ISERROR(SEARCH("NO",M115)))</formula>
    </cfRule>
    <cfRule type="containsText" dxfId="1" priority="394" operator="containsText" text="SI">
      <formula>NOT(ISERROR(SEARCH("SI",M115)))</formula>
    </cfRule>
  </conditionalFormatting>
  <conditionalFormatting sqref="O127">
    <cfRule type="expression" dxfId="0" priority="391">
      <formula>$L$49=RECIBIDO</formula>
    </cfRule>
  </conditionalFormatting>
  <hyperlinks>
    <hyperlink ref="D57" r:id="rId1" display="https://wwwapps.ups.com/WebTracking/track?track=yes&amp;trackNums=1Z6A4Y720318063872&amp;loc=en_US" xr:uid="{A57C4900-4C61-41CC-8DBF-1F786D9672DB}"/>
    <hyperlink ref="D55" r:id="rId2" display="https://www.fedex.com/fedextrack/?tracknumbers=464972364450&amp;locale=en_US" xr:uid="{6BB4A110-EE9C-45B8-87E6-DC6C225C360F}"/>
    <hyperlink ref="D54" r:id="rId3" display="https://www.fedex.com/fedextrack/?tracknumbers=464972364450&amp;locale=en_US" xr:uid="{FF30846E-0619-4BAB-81E0-7AA68CF5AF0D}"/>
    <hyperlink ref="D40" r:id="rId4" location="/results?id=2551845623" display="https://mydhl.express.dhl/it/en/tracking.html - /results?id=2551845623" xr:uid="{E3EB8367-A50F-421D-A74C-70D520B9BABC}"/>
    <hyperlink ref="D39" r:id="rId5" display="https://wwwapps.ups.com/WebTracking/track?track=yes&amp;trackNums=1ZH4F2980389320197&amp;loc=en_US" xr:uid="{9295BE38-5CD4-4D5C-863D-5A68C2F4197D}"/>
    <hyperlink ref="D38" r:id="rId6" display="https://wwwapps.ups.com/WebTracking/track?track=yes&amp;trackNums=1ZH4F2980389320197&amp;loc=en_US" xr:uid="{DB0D3EBF-0D3C-4078-83D7-031D894F1D98}"/>
    <hyperlink ref="D79" r:id="rId7" display="https://www.fedex.com/fedextrack/?tracknumbers=448471832831&amp;locale=en_US" xr:uid="{D3BE2805-BE57-4124-9243-A667B7B71227}"/>
    <hyperlink ref="D91" r:id="rId8" display="https://wwwapps.ups.com/WebTracking/track?track=yes&amp;trackNums=1Z195FR60350802368&amp;loc=en_US" xr:uid="{20AD1392-4591-422B-876E-8C32B6693580}"/>
    <hyperlink ref="D96" r:id="rId9" display="https://wwwapps.ups.com/WebTracking/track?track=yes&amp;trackNums=1ZH4F2980335905942&amp;loc=en_US" xr:uid="{DFF94EFA-C553-4554-82C1-97491358478A}"/>
    <hyperlink ref="D97" r:id="rId10" display="https://wwwapps.ups.com/WebTracking/track?track=yes&amp;trackNums=1ZH4F2980335905942&amp;loc=en_US" xr:uid="{932379C6-6D72-4F99-9CC8-90A49285D111}"/>
    <hyperlink ref="D94" r:id="rId11" display="https://wwwapps.ups.com/WebTracking/track?track=yes&amp;trackNums=1Z195FR60352370698&amp;loc=en_US" xr:uid="{A6E819DC-F2E8-4B97-8981-EF70D7F6CEDE}"/>
    <hyperlink ref="D20" r:id="rId12" display="https://wwwapps.ups.com/WebTracking/track?track=yes&amp;trackNums=1ZR1G1060311246404&amp;loc=en_US" xr:uid="{8775FF3E-2B7C-4D6D-90AF-F0620BB92807}"/>
    <hyperlink ref="D21" r:id="rId13" display="https://wwwapps.ups.com/WebTracking/track?track=yes&amp;trackNums=1ZR1G1060311246404&amp;loc=en_US" xr:uid="{9D11DF4E-CDF3-46F0-901B-BE715ADBFCDB}"/>
    <hyperlink ref="D19" r:id="rId14" display="https://wwwapps.ups.com/WebTracking/track?track=yes&amp;trackNums=1ZR1G1060311246404&amp;loc=en_US" xr:uid="{F0096C79-8A69-41FE-BFF6-3A9237B565A3}"/>
    <hyperlink ref="D25" r:id="rId15" display="https://wwwapps.ups.com/WebTracking/track?track=yes&amp;trackNums=1ZH4F2980302498785&amp;loc=en_US" xr:uid="{992A10DD-2D19-457D-B9C2-EB8739A6495B}"/>
    <hyperlink ref="D26" r:id="rId16" display="https://wwwapps.ups.com/WebTracking/track?track=yes&amp;trackNums=1ZH4F2980302498785&amp;loc=en_US" xr:uid="{CC43A245-5905-4540-A5B5-61CEC58C0BDA}"/>
    <hyperlink ref="D27" r:id="rId17" display="https://wwwapps.ups.com/WebTracking/track?track=yes&amp;trackNums=1ZH4F2980302498785&amp;loc=en_US" xr:uid="{957F826F-3542-44F3-B4CA-5C5F9F656D1A}"/>
    <hyperlink ref="D18" r:id="rId18" display="https://wwwapps.ups.com/WebTracking/track?track=yes&amp;trackNums=1ZR1G1060311246404&amp;loc=en_US" xr:uid="{B759FDF7-BAC6-4CFB-8231-FFA645A1B850}"/>
    <hyperlink ref="D17" r:id="rId19" display="https://wwwapps.ups.com/WebTracking/track?track=yes&amp;trackNums=1ZR1G1060311246404&amp;loc=en_US" xr:uid="{A7DC3D02-EDBE-4A7E-B819-34A256AAAC09}"/>
    <hyperlink ref="D14" r:id="rId20" display="https://wwwapps.ups.com/WebTracking/track?track=yes&amp;trackNums=1ZR1G1060311246404&amp;loc=en_US" xr:uid="{A0B9C80D-1A10-4F36-8CCD-2702919DC6D7}"/>
    <hyperlink ref="D15" r:id="rId21" display="https://wwwapps.ups.com/WebTracking/track?track=yes&amp;trackNums=1Z25Y0500351809472&amp;loc=en_US" xr:uid="{E95919B2-A288-4042-8ECE-CA85D122B518}"/>
    <hyperlink ref="D16" r:id="rId22" display="https://wwwapps.ups.com/WebTracking/track?track=yes&amp;trackNums=1Z25Y0500351809472&amp;loc=en_US" xr:uid="{2F6BBC49-23BC-41BD-A271-B2A652A2E564}"/>
    <hyperlink ref="D12" r:id="rId23" display="https://wwwapps.ups.com/WebTracking/track?track=yes&amp;trackNums=1ZR1G1060311246404&amp;loc=en_US" xr:uid="{EC5CA73C-03AA-42D6-879F-F7AC39CA57AA}"/>
    <hyperlink ref="D13" r:id="rId24" display="https://wwwapps.ups.com/WebTracking/track?track=yes&amp;trackNums=1ZR1G1060311246404&amp;loc=en_US" xr:uid="{5AD56521-758B-4F92-AF28-DC5085E41689}"/>
    <hyperlink ref="D11" r:id="rId25" display="https://wwwapps.ups.com/WebTracking/track?track=yes&amp;trackNums=1ZR1G1060311246404&amp;loc=en_US" xr:uid="{3B7BE7D2-4E5F-4F91-86A6-330CCC33AFB7}"/>
    <hyperlink ref="D10" r:id="rId26" display="https://wwwapps.ups.com/WebTracking/track?track=yes&amp;trackNums=1ZR1G1060311246404&amp;loc=en_US" xr:uid="{6FBCDAEA-054B-43BC-A50A-7AB3898ED55E}"/>
    <hyperlink ref="D9" r:id="rId27" display="https://wwwapps.ups.com/WebTracking/track?track=yes&amp;trackNums=1ZR1G1060311246404&amp;loc=en_US" xr:uid="{BD688C3E-96B6-664D-872B-8541CA9F985F}"/>
    <hyperlink ref="D8" r:id="rId28" display="https://wwwapps.ups.com/WebTracking/track?track=yes&amp;trackNums=1ZR1G1060311246404&amp;loc=en_US" xr:uid="{146C2EF0-AADB-4891-9436-90B6A1C6D01F}"/>
    <hyperlink ref="D7" r:id="rId29" display="https://wwwapps.ups.com/WebTracking/track?track=yes&amp;trackNums=1ZR1G1060311246404&amp;loc=en_US" xr:uid="{BD922172-014F-4343-AE65-1236FC2FBDB6}"/>
    <hyperlink ref="D6" r:id="rId30" display="https://wwwapps.ups.com/WebTracking/track?track=yes&amp;trackNums=1ZR1G1060311246404&amp;loc=en_US" xr:uid="{1743A5EA-C434-44C0-AA30-2C719ABF306C}"/>
    <hyperlink ref="D5" r:id="rId31" display="https://wwwapps.ups.com/WebTracking/track?track=yes&amp;trackNums=1ZR1G1060311246404&amp;loc=en_US" xr:uid="{2B4AD453-9830-4155-BE3A-B988B624EA95}"/>
    <hyperlink ref="D4" r:id="rId32" display="https://wwwapps.ups.com/WebTracking/track?track=yes&amp;trackNums=1ZR1G1060311246404&amp;loc=en_US" xr:uid="{74F7618A-F4A2-44CE-8F7F-EEFB8D54CAC3}"/>
  </hyperlinks>
  <pageMargins left="0.7" right="0.7" top="0.75" bottom="0.75" header="0.3" footer="0.3"/>
  <pageSetup paperSize="9"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0E34-4EF0-4D65-82D0-802C5755DB25}">
  <dimension ref="A1:D28"/>
  <sheetViews>
    <sheetView showGridLines="0" tabSelected="1" zoomScaleNormal="100" workbookViewId="0">
      <selection activeCell="D12" sqref="D12"/>
    </sheetView>
  </sheetViews>
  <sheetFormatPr baseColWidth="10" defaultColWidth="12.5" defaultRowHeight="14.25"/>
  <cols>
    <col min="1" max="1" width="11.75" style="1" bestFit="1" customWidth="1"/>
    <col min="2" max="2" width="29.625" style="1" bestFit="1" customWidth="1"/>
    <col min="3" max="3" width="12.5" style="1"/>
    <col min="4" max="4" width="11.125" style="8" bestFit="1" customWidth="1"/>
    <col min="5" max="16384" width="12.5" style="1"/>
  </cols>
  <sheetData>
    <row r="1" spans="1:4">
      <c r="A1" s="141" t="s">
        <v>34</v>
      </c>
      <c r="B1" s="141"/>
      <c r="D1" s="15" t="s">
        <v>53</v>
      </c>
    </row>
    <row r="2" spans="1:4">
      <c r="A2" s="20">
        <v>571773.06000000006</v>
      </c>
      <c r="B2" s="19" t="s">
        <v>253</v>
      </c>
      <c r="D2" s="16" t="s">
        <v>54</v>
      </c>
    </row>
    <row r="3" spans="1:4">
      <c r="A3" s="19">
        <v>342635.4</v>
      </c>
      <c r="B3" s="19" t="s">
        <v>65</v>
      </c>
      <c r="D3" s="17" t="s">
        <v>55</v>
      </c>
    </row>
    <row r="4" spans="1:4">
      <c r="A4" s="19">
        <v>203968</v>
      </c>
      <c r="B4" s="19" t="s">
        <v>292</v>
      </c>
      <c r="D4" s="18" t="s">
        <v>56</v>
      </c>
    </row>
    <row r="5" spans="1:4">
      <c r="A5" s="19">
        <v>421000</v>
      </c>
      <c r="B5" s="19" t="s">
        <v>297</v>
      </c>
      <c r="D5" s="20" t="s">
        <v>94</v>
      </c>
    </row>
    <row r="6" spans="1:4">
      <c r="A6" s="19">
        <v>130700</v>
      </c>
      <c r="B6" s="19" t="s">
        <v>66</v>
      </c>
      <c r="D6" s="83" t="s">
        <v>123</v>
      </c>
    </row>
    <row r="7" spans="1:4">
      <c r="A7" s="19">
        <v>754384.69</v>
      </c>
      <c r="B7" s="19" t="s">
        <v>304</v>
      </c>
    </row>
    <row r="8" spans="1:4">
      <c r="A8" s="19">
        <v>767400</v>
      </c>
      <c r="B8" s="19" t="s">
        <v>312</v>
      </c>
    </row>
    <row r="9" spans="1:4">
      <c r="A9" s="19">
        <v>277926</v>
      </c>
      <c r="B9" s="19" t="s">
        <v>65</v>
      </c>
    </row>
    <row r="10" spans="1:4">
      <c r="A10" s="19">
        <v>485020</v>
      </c>
      <c r="B10" s="19" t="s">
        <v>281</v>
      </c>
    </row>
    <row r="11" spans="1:4">
      <c r="A11" s="19">
        <v>396668</v>
      </c>
      <c r="B11" s="19" t="s">
        <v>306</v>
      </c>
    </row>
    <row r="12" spans="1:4">
      <c r="A12" s="19">
        <v>287699.26</v>
      </c>
      <c r="B12" s="19" t="s">
        <v>315</v>
      </c>
    </row>
    <row r="13" spans="1:4">
      <c r="A13" s="19">
        <v>721102.33</v>
      </c>
      <c r="B13" s="19" t="s">
        <v>321</v>
      </c>
    </row>
    <row r="14" spans="1:4">
      <c r="A14" s="31">
        <v>400000</v>
      </c>
      <c r="B14" s="31" t="s">
        <v>324</v>
      </c>
    </row>
    <row r="15" spans="1:4">
      <c r="A15" s="19">
        <v>760481.21</v>
      </c>
      <c r="B15" s="19" t="s">
        <v>325</v>
      </c>
    </row>
    <row r="16" spans="1:4">
      <c r="A16" s="19">
        <v>518277.69</v>
      </c>
      <c r="B16" s="19" t="s">
        <v>325</v>
      </c>
    </row>
    <row r="17" spans="1:2">
      <c r="A17" s="19">
        <v>127035</v>
      </c>
      <c r="B17" s="91" t="s">
        <v>135</v>
      </c>
    </row>
    <row r="18" spans="1:2">
      <c r="A18" s="19">
        <v>25400</v>
      </c>
      <c r="B18" s="19" t="s">
        <v>331</v>
      </c>
    </row>
    <row r="19" spans="1:2">
      <c r="A19" s="19">
        <v>187942</v>
      </c>
      <c r="B19" s="19" t="s">
        <v>69</v>
      </c>
    </row>
    <row r="20" spans="1:2">
      <c r="A20" s="96">
        <v>867488.64</v>
      </c>
      <c r="B20" s="96" t="s">
        <v>338</v>
      </c>
    </row>
    <row r="21" spans="1:2">
      <c r="A21" s="31">
        <f>+A20-774663</f>
        <v>92825.640000000014</v>
      </c>
      <c r="B21" s="31" t="s">
        <v>324</v>
      </c>
    </row>
    <row r="22" spans="1:2">
      <c r="A22" s="31">
        <v>146860</v>
      </c>
      <c r="B22" s="31" t="s">
        <v>135</v>
      </c>
    </row>
    <row r="23" spans="1:2">
      <c r="A23" s="19">
        <v>399110</v>
      </c>
      <c r="B23" s="19" t="s">
        <v>341</v>
      </c>
    </row>
    <row r="24" spans="1:2">
      <c r="A24" s="19">
        <v>384387</v>
      </c>
      <c r="B24" s="19" t="s">
        <v>283</v>
      </c>
    </row>
    <row r="25" spans="1:2">
      <c r="A25" s="19">
        <v>341000</v>
      </c>
      <c r="B25" s="19" t="s">
        <v>282</v>
      </c>
    </row>
    <row r="26" spans="1:2">
      <c r="A26" s="19">
        <v>223477.53</v>
      </c>
      <c r="B26" s="19" t="s">
        <v>206</v>
      </c>
    </row>
    <row r="27" spans="1:2">
      <c r="A27" s="113">
        <v>126000</v>
      </c>
      <c r="B27" s="113" t="s">
        <v>282</v>
      </c>
    </row>
    <row r="28" spans="1:2">
      <c r="A28" s="104">
        <v>180000</v>
      </c>
      <c r="B28" s="104" t="s">
        <v>282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CALCULOS</vt:lpstr>
      <vt:lpstr>STOCK</vt:lpstr>
      <vt:lpstr>DEUDORES</vt:lpstr>
      <vt:lpstr>VENTAS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STIVEN LONDO�O PEREZ</dc:creator>
  <cp:lastModifiedBy>JULIAN STIVEN</cp:lastModifiedBy>
  <dcterms:created xsi:type="dcterms:W3CDTF">2024-11-05T20:19:36Z</dcterms:created>
  <dcterms:modified xsi:type="dcterms:W3CDTF">2026-03-28T04:22:01Z</dcterms:modified>
</cp:coreProperties>
</file>